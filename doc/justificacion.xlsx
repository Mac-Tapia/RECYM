
<file path=[Content_Types].xml><?xml version="1.0" encoding="utf-8"?>
<Types xmlns="http://schemas.openxmlformats.org/package/2006/content-types">
  <Default ContentType="application/vnd.openxmlformats-package.relationships+xml" Extension="rels"/>
  <Default ContentType="application/xml" Extension="xml"/>
  <Default ContentType="application/vnd.openxmlformats-officedocument.vmlDrawing" Extension="v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comments+xml" PartName="/xl/comments/comment1.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comments+xml" PartName="/xl/comments/comment2.xml"/>
  <Override ContentType="application/vnd.openxmlformats-officedocument.spreadsheetml.worksheet+xml" PartName="/xl/worksheets/sheet5.xml"/>
  <Override ContentType="application/vnd.openxmlformats-officedocument.spreadsheetml.comments+xml" PartName="/xl/comments/commen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drawingml.chart+xml" PartName="/xl/charts/chart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codeName="ThisWorkbook"/>
  <bookViews>
    <workbookView activeTab="0" autoFilterDateGrouping="1" firstSheet="0" minimized="0" showHorizontalScroll="1" showSheetTabs="1" showVerticalScroll="1" tabRatio="760" visibility="visible" windowHeight="11500" windowWidth="19420" xWindow="-110" yWindow="-110"/>
  </bookViews>
  <sheets>
    <sheet name="Informe" sheetId="1" state="visible" r:id="rId1"/>
    <sheet name="Evaluacion_LINEA DM CONTR." sheetId="2" state="visible" r:id="rId2"/>
    <sheet name="Resultados de escenarios" sheetId="3" state="visible" r:id="rId3"/>
    <sheet name="CALCULOS_LINEA_OK" sheetId="4" state="visible" r:id="rId4"/>
    <sheet name="Clientes por radial_V2" sheetId="5" state="visible" r:id="rId5"/>
    <sheet name="Perdidas_ELDU" sheetId="6" state="visible" r:id="rId6"/>
    <sheet name="Unifilar_Trafo_Cargas_2" sheetId="7" state="hidden" r:id="rId7"/>
    <sheet name="INVERSION_VNR_LINEA" sheetId="8" state="hidden" r:id="rId8"/>
    <sheet name="1) Red Actual" sheetId="9" state="hidden" r:id="rId9"/>
    <sheet name="2) Ingreso SU" sheetId="10" state="hidden" r:id="rId10"/>
  </sheets>
  <externalReferences>
    <externalReference r:id="rId11"/>
    <externalReference r:id="rId12"/>
    <externalReference r:id="rId13"/>
    <externalReference r:id="rId14"/>
    <externalReference r:id="rId15"/>
    <externalReference r:id="rId16"/>
  </externalReferences>
  <definedNames>
    <definedName name="AAA">#REF!</definedName>
    <definedName localSheetId="4" name="CLIENTES">'Clientes por radial_V2'!$F:$F</definedName>
    <definedName localSheetId="4" name="CONSUMO">'Clientes por radial_V2'!$F:$F</definedName>
    <definedName name="DATA">'[1]2022'!$C$9:$AE$104</definedName>
    <definedName localSheetId="4" name="ENERGIA_PLIEGO">'Clientes por radial_V2'!#REF!</definedName>
    <definedName name="ENERGIA_PLIEGO">[2]SE!#REF!</definedName>
    <definedName name="Tasa">[3]PARAMETROS!$D$8</definedName>
    <definedName name="ValueSaveAsHTM">'[4]|PRIVATE|Template'!#REF!</definedName>
    <definedName name="XXX">#REF!</definedName>
    <definedName localSheetId="0" name="_xlnm.Print_Area">'Informe'!$A$1:$K$214</definedName>
    <definedName localSheetId="1" name="_xlnm.Print_Titles">'Evaluacion_LINEA DM CONTR.'!$1:$5</definedName>
    <definedName localSheetId="1" name="_xlnm.Print_Area">'Evaluacion_LINEA DM CONTR.'!$A$1:$J$52</definedName>
    <definedName localSheetId="4" name="_xlnm.Print_Area">'Clientes por radial_V2'!$A$2:$W$299</definedName>
    <definedName localSheetId="6" name="_xlnm.Print_Area">'Unifilar_Trafo_Cargas_2'!$B$4:$X$50</definedName>
  </definedNames>
  <calcPr calcId="191028" fullCalcOnLoad="1"/>
</workbook>
</file>

<file path=xl/styles.xml><?xml version="1.0" encoding="utf-8"?>
<styleSheet xmlns="http://schemas.openxmlformats.org/spreadsheetml/2006/main">
  <numFmts count="5">
    <numFmt formatCode="0.000" numFmtId="164"/>
    <numFmt formatCode="#,##0.0" numFmtId="165"/>
    <numFmt formatCode="0.0%" numFmtId="166"/>
    <numFmt formatCode="0.0000" numFmtId="167"/>
    <numFmt formatCode="_-* #,##0.00\ [$€]_-;\-* #,##0.00\ [$€]_-;_-* &quot;-&quot;??\ [$€]_-;_-@_-" numFmtId="168"/>
  </numFmts>
  <fonts count="73">
    <font>
      <name val="Calibri"/>
      <family val="2"/>
      <color theme="1"/>
      <sz val="11"/>
      <scheme val="minor"/>
    </font>
    <font>
      <name val="Calibri"/>
      <family val="2"/>
      <b val="1"/>
      <color theme="1"/>
      <sz val="11"/>
      <scheme val="minor"/>
    </font>
    <font>
      <name val="Calibri"/>
      <family val="2"/>
      <color theme="0"/>
      <sz val="11"/>
      <scheme val="minor"/>
    </font>
    <font>
      <name val="Calibri"/>
      <family val="2"/>
      <color theme="1"/>
      <sz val="11"/>
      <scheme val="minor"/>
    </font>
    <font>
      <name val="Arial Unicode MS"/>
      <family val="2"/>
      <color theme="1"/>
      <sz val="8"/>
    </font>
    <font>
      <name val="Arial Unicode MS"/>
      <family val="2"/>
      <b val="1"/>
      <color rgb="FF000060"/>
      <sz val="12"/>
    </font>
    <font>
      <name val="Arial Unicode MS"/>
      <family val="2"/>
      <b val="1"/>
      <color rgb="FF000060"/>
      <sz val="10"/>
    </font>
    <font>
      <name val="Arial Unicode MS"/>
      <family val="2"/>
      <b val="1"/>
      <color theme="1"/>
      <sz val="8"/>
    </font>
    <font>
      <name val="Calibri"/>
      <family val="2"/>
      <b val="1"/>
      <color theme="1"/>
      <sz val="18"/>
      <scheme val="minor"/>
    </font>
    <font>
      <name val="Calibri"/>
      <family val="2"/>
      <b val="1"/>
      <color theme="1"/>
      <sz val="9"/>
      <scheme val="minor"/>
    </font>
    <font>
      <name val="Calibri"/>
      <family val="2"/>
      <color theme="1"/>
      <sz val="12"/>
      <scheme val="minor"/>
    </font>
    <font>
      <name val="Calibri"/>
      <family val="2"/>
      <color theme="1"/>
      <sz val="14"/>
      <scheme val="minor"/>
    </font>
    <font>
      <name val="Calibri"/>
      <family val="2"/>
      <b val="1"/>
      <color theme="1"/>
      <sz val="14"/>
      <u val="single"/>
      <scheme val="minor"/>
    </font>
    <font>
      <name val="Arial"/>
      <family val="2"/>
      <sz val="10"/>
    </font>
    <font>
      <name val="Arial"/>
      <family val="2"/>
      <b val="1"/>
      <sz val="12"/>
      <u val="single"/>
    </font>
    <font>
      <name val="Arial"/>
      <family val="2"/>
      <b val="1"/>
      <sz val="11"/>
    </font>
    <font>
      <name val="Arial"/>
      <family val="2"/>
      <b val="1"/>
      <sz val="11"/>
      <u val="single"/>
    </font>
    <font>
      <name val="Arial"/>
      <family val="2"/>
      <b val="1"/>
      <sz val="10"/>
    </font>
    <font>
      <name val="Arial"/>
      <family val="2"/>
      <b val="1"/>
      <sz val="10"/>
      <u val="single"/>
    </font>
    <font>
      <name val="Arial"/>
      <family val="2"/>
      <sz val="10"/>
    </font>
    <font>
      <name val="Arial"/>
      <family val="2"/>
      <sz val="9"/>
    </font>
    <font>
      <name val="Arial Narrow"/>
      <family val="2"/>
      <b val="1"/>
      <sz val="10"/>
    </font>
    <font>
      <name val="Arial"/>
      <family val="2"/>
      <sz val="8"/>
    </font>
    <font>
      <name val="Arial"/>
      <family val="2"/>
      <i val="1"/>
      <sz val="9"/>
    </font>
    <font>
      <name val="Arial"/>
      <family val="2"/>
      <color rgb="FFFF0000"/>
      <sz val="10"/>
    </font>
    <font>
      <name val="Arial"/>
      <family val="2"/>
      <b val="1"/>
      <sz val="22"/>
    </font>
    <font>
      <name val="Arial"/>
      <family val="2"/>
      <b val="1"/>
      <color rgb="FF0000FF"/>
      <sz val="14"/>
      <u val="single"/>
    </font>
    <font>
      <name val="Arial"/>
      <family val="2"/>
      <b val="1"/>
      <sz val="12"/>
    </font>
    <font>
      <name val="Arial"/>
      <family val="2"/>
      <b val="1"/>
      <sz val="18"/>
      <u val="single"/>
    </font>
    <font>
      <name val="Arial"/>
      <family val="2"/>
      <b val="1"/>
      <sz val="14"/>
      <u val="single"/>
    </font>
    <font>
      <name val="Arial"/>
      <family val="2"/>
      <color indexed="9"/>
      <sz val="10"/>
    </font>
    <font>
      <name val="Arial"/>
      <family val="2"/>
      <b val="1"/>
      <color indexed="12"/>
      <sz val="12"/>
    </font>
    <font>
      <name val="Arial"/>
      <family val="2"/>
      <color indexed="12"/>
      <sz val="10"/>
    </font>
    <font>
      <name val="Arial"/>
      <family val="2"/>
      <sz val="12"/>
    </font>
    <font>
      <name val="Arial"/>
      <family val="2"/>
      <sz val="11"/>
    </font>
    <font>
      <name val="Arial"/>
      <family val="2"/>
      <color rgb="FFFF0000"/>
      <sz val="11"/>
    </font>
    <font>
      <name val="Arial"/>
      <family val="2"/>
      <sz val="16"/>
      <u val="single"/>
    </font>
    <font>
      <name val="Arial"/>
      <family val="2"/>
      <b val="1"/>
      <color rgb="FFFF0000"/>
      <sz val="20"/>
    </font>
    <font>
      <name val="Arial"/>
      <family val="2"/>
      <b val="1"/>
      <color rgb="FFFF0000"/>
      <sz val="16"/>
    </font>
    <font>
      <name val="Arial"/>
      <family val="2"/>
      <sz val="14"/>
      <u val="single"/>
    </font>
    <font>
      <name val="Calibri"/>
      <family val="2"/>
      <color rgb="FFFF0000"/>
      <sz val="11"/>
      <scheme val="minor"/>
    </font>
    <font>
      <name val="Calibri"/>
      <family val="2"/>
      <sz val="11"/>
      <scheme val="minor"/>
    </font>
    <font>
      <name val="Calibri"/>
      <family val="2"/>
      <b val="1"/>
      <sz val="14"/>
      <scheme val="minor"/>
    </font>
    <font>
      <name val="Calibri"/>
      <family val="2"/>
      <sz val="14"/>
      <scheme val="minor"/>
    </font>
    <font>
      <name val="Calibri"/>
      <family val="2"/>
      <color theme="1"/>
      <sz val="9"/>
      <scheme val="minor"/>
    </font>
    <font>
      <name val="Calibri"/>
      <family val="2"/>
      <b val="1"/>
      <color theme="1"/>
      <sz val="12"/>
      <scheme val="minor"/>
    </font>
    <font>
      <name val="Calibri"/>
      <family val="2"/>
      <b val="1"/>
      <color rgb="FF002060"/>
      <sz val="12"/>
      <scheme val="minor"/>
    </font>
    <font>
      <name val="Calibri"/>
      <family val="2"/>
      <b val="1"/>
      <color theme="0"/>
      <sz val="12"/>
      <scheme val="minor"/>
    </font>
    <font>
      <name val="Calibri"/>
      <family val="2"/>
      <sz val="12"/>
      <scheme val="minor"/>
    </font>
    <font>
      <name val="Calibri"/>
      <family val="2"/>
      <b val="1"/>
      <sz val="12"/>
      <scheme val="minor"/>
    </font>
    <font>
      <name val="Calibri"/>
      <family val="2"/>
      <color rgb="FF000000"/>
      <sz val="12"/>
      <scheme val="minor"/>
    </font>
    <font>
      <name val="Arial"/>
      <family val="2"/>
      <b val="1"/>
      <sz val="9"/>
    </font>
    <font>
      <name val="Calibri"/>
      <family val="2"/>
      <b val="1"/>
      <color rgb="FF000060"/>
      <sz val="10"/>
      <scheme val="minor"/>
    </font>
    <font>
      <name val="Calibri"/>
      <family val="2"/>
      <b val="1"/>
      <color rgb="FF000000"/>
      <sz val="10"/>
      <scheme val="minor"/>
    </font>
    <font>
      <name val="Calibri"/>
      <family val="2"/>
      <color rgb="FF000000"/>
      <sz val="10"/>
      <scheme val="minor"/>
    </font>
    <font>
      <name val="Calibri"/>
      <family val="2"/>
      <color rgb="FF000000"/>
      <sz val="11"/>
      <scheme val="minor"/>
    </font>
    <font>
      <name val="Calibri"/>
      <family val="1"/>
      <b val="1"/>
      <color theme="1"/>
      <sz val="11"/>
      <u val="single"/>
      <scheme val="minor"/>
    </font>
    <font>
      <name val="Arial"/>
      <family val="2"/>
      <sz val="14"/>
    </font>
    <font>
      <name val="Arial"/>
      <family val="2"/>
      <color theme="0"/>
      <sz val="10"/>
    </font>
    <font>
      <name val="Arial"/>
      <family val="2"/>
      <color theme="3" tint="0.3999755851924192"/>
      <sz val="10"/>
    </font>
    <font>
      <name val="Arial"/>
      <family val="2"/>
      <b val="1"/>
      <i val="1"/>
      <color theme="3" tint="0.3999755851924192"/>
      <sz val="10"/>
      <u val="single"/>
    </font>
    <font>
      <name val="Calibri"/>
      <family val="2"/>
      <color theme="3" tint="0.3999755851924192"/>
      <sz val="11"/>
      <scheme val="minor"/>
    </font>
    <font>
      <name val="Tahoma"/>
      <family val="2"/>
      <b val="1"/>
      <color indexed="81"/>
      <sz val="9"/>
    </font>
    <font>
      <name val="Calibri"/>
      <family val="2"/>
      <color rgb="FF000000"/>
      <sz val="11"/>
    </font>
    <font>
      <name val="Calibri"/>
      <family val="2"/>
      <b val="1"/>
      <color rgb="FF000000"/>
      <sz val="11"/>
    </font>
    <font>
      <name val="Calibri"/>
      <family val="2"/>
      <color rgb="FF000000"/>
      <sz val="10"/>
    </font>
    <font>
      <name val="Calibri"/>
      <family val="2"/>
      <color rgb="FFFF0000"/>
      <sz val="10"/>
      <scheme val="minor"/>
    </font>
    <font>
      <name val="Calibri"/>
      <family val="2"/>
      <b val="1"/>
      <color theme="1"/>
      <sz val="16"/>
      <scheme val="minor"/>
    </font>
    <font>
      <name val="Calibri"/>
      <family val="2"/>
      <color theme="1"/>
      <sz val="16"/>
      <scheme val="minor"/>
    </font>
    <font>
      <name val="Calibri"/>
      <family val="2"/>
      <b val="1"/>
      <color theme="0"/>
      <sz val="14"/>
      <scheme val="minor"/>
    </font>
    <font>
      <name val="Arial"/>
      <family val="2"/>
      <color theme="1"/>
      <sz val="10"/>
    </font>
    <font>
      <name val="Calibri"/>
      <family val="2"/>
      <color rgb="FFFF0000"/>
      <sz val="12"/>
      <scheme val="minor"/>
    </font>
    <font>
      <name val="Tahoma"/>
      <family val="2"/>
      <color indexed="81"/>
      <sz val="9"/>
    </font>
  </fonts>
  <fills count="26">
    <fill>
      <patternFill/>
    </fill>
    <fill>
      <patternFill patternType="gray125"/>
    </fill>
    <fill>
      <patternFill patternType="solid">
        <fgColor rgb="FFE4E4E4"/>
        <bgColor indexed="64"/>
      </patternFill>
    </fill>
    <fill>
      <patternFill patternType="solid">
        <fgColor rgb="FFFFFF00"/>
        <bgColor indexed="64"/>
      </patternFill>
    </fill>
    <fill>
      <patternFill patternType="solid">
        <fgColor theme="4"/>
      </patternFill>
    </fill>
    <fill>
      <patternFill patternType="solid">
        <fgColor rgb="FFE0E0E0"/>
        <bgColor indexed="64"/>
      </patternFill>
    </fill>
    <fill>
      <patternFill patternType="solid">
        <fgColor rgb="FFFFFFFF"/>
        <bgColor indexed="64"/>
      </patternFill>
    </fill>
    <fill>
      <patternFill patternType="solid">
        <fgColor theme="0"/>
        <bgColor indexed="64"/>
      </patternFill>
    </fill>
    <fill>
      <patternFill patternType="solid">
        <fgColor theme="7" tint="0.7999816888943144"/>
        <bgColor indexed="64"/>
      </patternFill>
    </fill>
    <fill>
      <patternFill patternType="solid">
        <fgColor indexed="1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rgb="FFFF000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tint="-0.249977111117893"/>
        <bgColor indexed="64"/>
      </patternFill>
    </fill>
    <fill>
      <patternFill patternType="solid">
        <fgColor rgb="FFBFBFBF"/>
        <bgColor indexed="64"/>
      </patternFill>
    </fill>
    <fill>
      <patternFill patternType="solid">
        <fgColor theme="6" tint="0.7999816888943144"/>
        <bgColor indexed="64"/>
      </patternFill>
    </fill>
    <fill>
      <patternFill patternType="solid">
        <fgColor theme="9" tint="0.7999816888943144"/>
        <bgColor indexed="64"/>
      </patternFill>
    </fill>
    <fill>
      <patternFill patternType="solid">
        <fgColor rgb="FFD9D9D9"/>
        <bgColor indexed="64"/>
      </patternFill>
    </fill>
    <fill>
      <patternFill patternType="solid">
        <fgColor theme="2" tint="-0.499984740745262"/>
        <bgColor indexed="64"/>
      </patternFill>
    </fill>
    <fill>
      <patternFill patternType="solid">
        <fgColor theme="6" tint="0.5999938962981048"/>
        <bgColor indexed="64"/>
      </patternFill>
    </fill>
    <fill>
      <patternFill patternType="solid">
        <fgColor theme="3" tint="0.3999755851924192"/>
        <bgColor indexed="64"/>
      </patternFill>
    </fill>
    <fill>
      <patternFill patternType="solid">
        <fgColor theme="4" tint="0.7999816888943144"/>
        <bgColor indexed="64"/>
      </patternFill>
    </fill>
    <fill>
      <patternFill patternType="solid">
        <fgColor theme="9" tint="0.3999755851924192"/>
        <bgColor indexed="64"/>
      </patternFill>
    </fill>
  </fills>
  <borders count="254">
    <border>
      <left/>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medium">
        <color indexed="64"/>
      </right>
      <top/>
      <bottom/>
      <diagonal/>
    </border>
    <border>
      <left style="thin">
        <color indexed="64"/>
      </left>
      <right style="thin">
        <color indexed="64"/>
      </right>
      <top/>
      <bottom style="thin">
        <color indexed="64"/>
      </bottom>
      <diagonal/>
    </border>
    <border>
      <left/>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8"/>
      </left>
      <right/>
      <top/>
      <bottom style="thin">
        <color indexed="64"/>
      </bottom>
      <diagonal/>
    </border>
    <border>
      <left/>
      <right style="thin">
        <color indexed="8"/>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0070C0"/>
      </left>
      <right style="medium">
        <color rgb="FF0070C0"/>
      </right>
      <top style="medium">
        <color rgb="FF0070C0"/>
      </top>
      <bottom/>
      <diagonal/>
    </border>
    <border>
      <left style="medium">
        <color rgb="FF0070C0"/>
      </left>
      <right/>
      <top/>
      <bottom/>
      <diagonal/>
    </border>
    <border>
      <left style="medium">
        <color rgb="FF0070C0"/>
      </left>
      <right style="medium">
        <color rgb="FF0070C0"/>
      </right>
      <top/>
      <bottom/>
      <diagonal/>
    </border>
    <border>
      <left style="medium">
        <color rgb="FF0070C0"/>
      </left>
      <right style="thick">
        <color theme="3" tint="0.3999145481734672"/>
      </right>
      <top/>
      <bottom style="dashed">
        <color theme="3" tint="0.3999145481734672"/>
      </bottom>
      <diagonal/>
    </border>
    <border>
      <left style="thick">
        <color theme="6" tint="-0.249946592608417"/>
      </left>
      <right style="thick">
        <color theme="3" tint="0.3999450666829432"/>
      </right>
      <top style="thick">
        <color theme="6" tint="-0.249946592608417"/>
      </top>
      <bottom/>
      <diagonal/>
    </border>
    <border>
      <left style="dashed">
        <color theme="3" tint="0.3999450666829432"/>
      </left>
      <right style="dashed">
        <color theme="3" tint="0.3999450666829432"/>
      </right>
      <top style="dashed">
        <color theme="3" tint="0.3999450666829432"/>
      </top>
      <bottom style="dashed">
        <color theme="3" tint="0.3999450666829432"/>
      </bottom>
      <diagonal/>
    </border>
    <border>
      <left style="double">
        <color theme="3" tint="0.3999450666829432"/>
      </left>
      <right style="dashed">
        <color theme="3" tint="0.3999145481734672"/>
      </right>
      <top style="double">
        <color theme="3" tint="0.3999450666829432"/>
      </top>
      <bottom style="dashed">
        <color theme="3" tint="0.3999145481734672"/>
      </bottom>
      <diagonal/>
    </border>
    <border>
      <left style="dashed">
        <color theme="3" tint="0.3999145481734672"/>
      </left>
      <right/>
      <top style="double">
        <color theme="3" tint="0.3999450666829432"/>
      </top>
      <bottom style="dashed">
        <color theme="3" tint="0.3999145481734672"/>
      </bottom>
      <diagonal/>
    </border>
    <border>
      <left style="dashed">
        <color theme="3" tint="0.3999450666829432"/>
      </left>
      <right style="dashed">
        <color theme="3" tint="0.3998840296639912"/>
      </right>
      <top style="dashed">
        <color theme="3" tint="0.3999145481734672"/>
      </top>
      <bottom style="dashed">
        <color theme="3" tint="0.3999450666829432"/>
      </bottom>
      <diagonal/>
    </border>
    <border>
      <left style="dotted">
        <color theme="3" tint="0.3998840296639912"/>
      </left>
      <right style="dashed">
        <color theme="3" tint="0.3998840296639912"/>
      </right>
      <top style="dashed">
        <color theme="3" tint="0.3999145481734672"/>
      </top>
      <bottom style="dashed">
        <color theme="3" tint="0.3999145481734672"/>
      </bottom>
      <diagonal/>
    </border>
    <border>
      <left/>
      <right style="thick">
        <color theme="3" tint="0.3999145481734672"/>
      </right>
      <top style="dashed">
        <color theme="3" tint="0.3999145481734672"/>
      </top>
      <bottom style="dashed">
        <color theme="3" tint="0.3999145481734672"/>
      </bottom>
      <diagonal/>
    </border>
    <border>
      <left style="thick">
        <color theme="6" tint="-0.249946592608417"/>
      </left>
      <right style="thick">
        <color theme="3" tint="0.3999450666829432"/>
      </right>
      <top/>
      <bottom/>
      <diagonal/>
    </border>
    <border>
      <left style="double">
        <color theme="3" tint="0.3999450666829432"/>
      </left>
      <right style="dashed">
        <color theme="3" tint="0.3999145481734672"/>
      </right>
      <top style="dashed">
        <color theme="3" tint="0.3999145481734672"/>
      </top>
      <bottom style="dashed">
        <color theme="3" tint="0.3999145481734672"/>
      </bottom>
      <diagonal/>
    </border>
    <border>
      <left style="dashed">
        <color theme="3" tint="0.3999145481734672"/>
      </left>
      <right/>
      <top style="dashed">
        <color theme="3" tint="0.3999145481734672"/>
      </top>
      <bottom style="dashed">
        <color theme="3" tint="0.3999145481734672"/>
      </bottom>
      <diagonal/>
    </border>
    <border>
      <left style="dashed">
        <color theme="3" tint="0.3999450666829432"/>
      </left>
      <right style="dashed">
        <color theme="3" tint="0.3998840296639912"/>
      </right>
      <top/>
      <bottom/>
      <diagonal/>
    </border>
    <border>
      <left style="dashed">
        <color theme="3" tint="0.3999450666829432"/>
      </left>
      <right style="dashed">
        <color theme="3" tint="0.3998840296639912"/>
      </right>
      <top style="dashed">
        <color theme="3" tint="0.3999450666829432"/>
      </top>
      <bottom style="dashed">
        <color theme="3" tint="0.3999145481734672"/>
      </bottom>
      <diagonal/>
    </border>
    <border>
      <left style="thick">
        <color theme="3" tint="0.3999450666829432"/>
      </left>
      <right style="dashed">
        <color theme="3" tint="0.3999450666829432"/>
      </right>
      <top style="dashed">
        <color theme="3" tint="0.3999450666829432"/>
      </top>
      <bottom style="thick">
        <color theme="3" tint="0.3999145481734672"/>
      </bottom>
      <diagonal/>
    </border>
    <border>
      <left style="dashed">
        <color theme="3" tint="0.3999450666829432"/>
      </left>
      <right style="dashed">
        <color theme="3" tint="0.3999450666829432"/>
      </right>
      <top style="dashed">
        <color theme="3" tint="0.3999450666829432"/>
      </top>
      <bottom style="thick">
        <color theme="3" tint="0.3999145481734672"/>
      </bottom>
      <diagonal/>
    </border>
    <border>
      <left style="dashed">
        <color theme="3" tint="0.3999450666829432"/>
      </left>
      <right style="double">
        <color theme="3" tint="0.3999450666829432"/>
      </right>
      <top style="dashed">
        <color theme="3" tint="0.3999450666829432"/>
      </top>
      <bottom style="thick">
        <color theme="3" tint="0.3999145481734672"/>
      </bottom>
      <diagonal/>
    </border>
    <border>
      <left style="double">
        <color theme="3" tint="0.3999450666829432"/>
      </left>
      <right style="dashed">
        <color theme="3" tint="0.3999145481734672"/>
      </right>
      <top style="dashed">
        <color theme="3" tint="0.3999145481734672"/>
      </top>
      <bottom style="thick">
        <color theme="3" tint="0.3999145481734672"/>
      </bottom>
      <diagonal/>
    </border>
    <border>
      <left style="dashed">
        <color theme="3" tint="0.3999450666829432"/>
      </left>
      <right/>
      <top style="dashed">
        <color theme="3" tint="0.3999450666829432"/>
      </top>
      <bottom style="thick">
        <color theme="3" tint="0.3999145481734672"/>
      </bottom>
      <diagonal/>
    </border>
    <border>
      <left style="dashed">
        <color theme="3" tint="0.3999450666829432"/>
      </left>
      <right style="dashed">
        <color theme="3" tint="0.3998840296639912"/>
      </right>
      <top style="dashed">
        <color theme="3" tint="0.3999145481734672"/>
      </top>
      <bottom style="thick">
        <color theme="3" tint="0.3999145481734672"/>
      </bottom>
      <diagonal/>
    </border>
    <border>
      <left style="dotted">
        <color theme="3" tint="0.3998840296639912"/>
      </left>
      <right style="dashed">
        <color theme="3" tint="0.3998840296639912"/>
      </right>
      <top style="dashed">
        <color theme="3" tint="0.3999450666829432"/>
      </top>
      <bottom style="thick">
        <color theme="3" tint="0.3999450666829432"/>
      </bottom>
      <diagonal/>
    </border>
    <border>
      <left/>
      <right style="thick">
        <color theme="3" tint="0.3999145481734672"/>
      </right>
      <top style="dashed">
        <color theme="3" tint="0.3999450666829432"/>
      </top>
      <bottom style="thick">
        <color theme="3" tint="0.3999145481734672"/>
      </bottom>
      <diagonal/>
    </border>
    <border>
      <left style="dashed">
        <color theme="3" tint="0.3999450666829432"/>
      </left>
      <right style="dashed">
        <color theme="3" tint="0.3999450666829432"/>
      </right>
      <top/>
      <bottom style="dashed">
        <color theme="3" tint="0.3999450666829432"/>
      </bottom>
      <diagonal/>
    </border>
    <border>
      <left style="double">
        <color theme="3" tint="0.3999450666829432"/>
      </left>
      <right style="dashed">
        <color theme="3" tint="0.3999450666829432"/>
      </right>
      <top/>
      <bottom style="dashed">
        <color theme="3" tint="0.3999450666829432"/>
      </bottom>
      <diagonal/>
    </border>
    <border>
      <left style="dashed">
        <color theme="3" tint="0.3999450666829432"/>
      </left>
      <right/>
      <top/>
      <bottom style="dashed">
        <color theme="3" tint="0.3999450666829432"/>
      </bottom>
      <diagonal/>
    </border>
    <border>
      <left style="dashed">
        <color theme="3" tint="0.3999145481734672"/>
      </left>
      <right style="dashed">
        <color theme="3" tint="0.3998840296639912"/>
      </right>
      <top/>
      <bottom style="dashed">
        <color theme="3" tint="0.3999145481734672"/>
      </bottom>
      <diagonal/>
    </border>
    <border>
      <left style="double">
        <color theme="3" tint="0.3999450666829432"/>
      </left>
      <right style="dashed">
        <color theme="3" tint="0.3999450666829432"/>
      </right>
      <top style="dashed">
        <color theme="3" tint="0.3999450666829432"/>
      </top>
      <bottom style="dashed">
        <color theme="3" tint="0.3999450666829432"/>
      </bottom>
      <diagonal/>
    </border>
    <border>
      <left style="dashed">
        <color theme="3" tint="0.3999450666829432"/>
      </left>
      <right/>
      <top style="dashed">
        <color theme="3" tint="0.3999450666829432"/>
      </top>
      <bottom style="dashed">
        <color theme="3" tint="0.3999450666829432"/>
      </bottom>
      <diagonal/>
    </border>
    <border>
      <left style="dashed">
        <color theme="3" tint="0.3999450666829432"/>
      </left>
      <right style="dashed">
        <color theme="3" tint="0.3998840296639912"/>
      </right>
      <top style="dashed">
        <color theme="3" tint="0.3999450666829432"/>
      </top>
      <bottom style="dashed">
        <color theme="3" tint="0.3999450666829432"/>
      </bottom>
      <diagonal/>
    </border>
    <border>
      <left style="dashed">
        <color theme="3" tint="0.3999450666829432"/>
      </left>
      <right style="dashed">
        <color theme="3" tint="0.3999450666829432"/>
      </right>
      <top style="dashed">
        <color theme="3" tint="0.3999450666829432"/>
      </top>
      <bottom/>
      <diagonal/>
    </border>
    <border>
      <left style="double">
        <color theme="3" tint="0.3999450666829432"/>
      </left>
      <right style="dashed">
        <color theme="3" tint="0.3999450666829432"/>
      </right>
      <top style="dashed">
        <color theme="3" tint="0.3999450666829432"/>
      </top>
      <bottom style="thick">
        <color theme="3" tint="0.3999145481734672"/>
      </bottom>
      <diagonal/>
    </border>
    <border>
      <left style="thick">
        <color theme="3" tint="0.3999450666829432"/>
      </left>
      <right style="thin">
        <color theme="3" tint="0.3999755851924192"/>
      </right>
      <top style="thick">
        <color theme="3" tint="0.3999145481734672"/>
      </top>
      <bottom style="dashed">
        <color theme="3" tint="0.3999450666829432"/>
      </bottom>
      <diagonal/>
    </border>
    <border>
      <left style="thin">
        <color theme="3" tint="0.3999755851924192"/>
      </left>
      <right style="thin">
        <color theme="3" tint="0.3999755851924192"/>
      </right>
      <top style="thick">
        <color theme="3" tint="0.3999450666829432"/>
      </top>
      <bottom style="dashed">
        <color theme="3" tint="0.3999450666829432"/>
      </bottom>
      <diagonal/>
    </border>
    <border>
      <left style="thin">
        <color theme="3" tint="0.3999755851924192"/>
      </left>
      <right style="double">
        <color theme="3" tint="0.3999450666829432"/>
      </right>
      <top style="thick">
        <color theme="3" tint="0.3999450666829432"/>
      </top>
      <bottom style="dashed">
        <color theme="3" tint="0.3999450666829432"/>
      </bottom>
      <diagonal/>
    </border>
    <border>
      <left style="double">
        <color theme="3" tint="0.3999450666829432"/>
      </left>
      <right/>
      <top style="thick">
        <color theme="3" tint="0.3999145481734672"/>
      </top>
      <bottom/>
      <diagonal/>
    </border>
    <border>
      <left style="dashed">
        <color theme="3" tint="0.3999450666829432"/>
      </left>
      <right/>
      <top style="thick">
        <color theme="3" tint="0.3999145481734672"/>
      </top>
      <bottom style="dashed">
        <color theme="3" tint="0.3999450666829432"/>
      </bottom>
      <diagonal/>
    </border>
    <border>
      <left style="double">
        <color theme="3" tint="0.3999450666829432"/>
      </left>
      <right/>
      <top/>
      <bottom/>
      <diagonal/>
    </border>
    <border>
      <left style="dotted">
        <color theme="3" tint="0.3998840296639912"/>
      </left>
      <right style="dashed">
        <color theme="3" tint="0.3998840296639912"/>
      </right>
      <top/>
      <bottom/>
      <diagonal/>
    </border>
    <border>
      <left/>
      <right style="thick">
        <color theme="3" tint="0.3999145481734672"/>
      </right>
      <top/>
      <bottom/>
      <diagonal/>
    </border>
    <border>
      <left style="dashed">
        <color theme="3" tint="0.3999450666829432"/>
      </left>
      <right style="dashed">
        <color theme="3" tint="0.3999450666829432"/>
      </right>
      <top/>
      <bottom/>
      <diagonal/>
    </border>
    <border>
      <left style="double">
        <color theme="3" tint="0.3999450666829432"/>
      </left>
      <right/>
      <top/>
      <bottom style="thick">
        <color theme="3" tint="0.3999450666829432"/>
      </bottom>
      <diagonal/>
    </border>
    <border>
      <left style="thick">
        <color theme="3" tint="0.3999450666829432"/>
      </left>
      <right/>
      <top style="thick">
        <color theme="3" tint="0.3999145481734672"/>
      </top>
      <bottom style="dashed">
        <color theme="3" tint="0.3999450666829432"/>
      </bottom>
      <diagonal/>
    </border>
    <border>
      <left style="dashed">
        <color theme="3" tint="0.3999450666829432"/>
      </left>
      <right style="dashed">
        <color theme="3" tint="0.3999450666829432"/>
      </right>
      <top style="thick">
        <color theme="3" tint="0.3999145481734672"/>
      </top>
      <bottom/>
      <diagonal/>
    </border>
    <border>
      <left/>
      <right style="double">
        <color theme="3" tint="0.3999450666829432"/>
      </right>
      <top style="thick">
        <color theme="3" tint="0.3999145481734672"/>
      </top>
      <bottom style="dashed">
        <color theme="3" tint="0.3999450666829432"/>
      </bottom>
      <diagonal/>
    </border>
    <border>
      <left style="double">
        <color theme="3" tint="0.3999450666829432"/>
      </left>
      <right style="dashed">
        <color theme="3" tint="0.3999145481734672"/>
      </right>
      <top style="thick">
        <color theme="3" tint="0.3999450666829432"/>
      </top>
      <bottom style="thin">
        <color theme="3" tint="0.3999755851924192"/>
      </bottom>
      <diagonal/>
    </border>
    <border>
      <left style="dashed">
        <color theme="3" tint="0.3999145481734672"/>
      </left>
      <right style="dashed">
        <color theme="3" tint="0.3998840296639912"/>
      </right>
      <top style="thick">
        <color theme="3" tint="0.3999450666829432"/>
      </top>
      <bottom style="dashed">
        <color theme="3" tint="0.3999450666829432"/>
      </bottom>
      <diagonal/>
    </border>
    <border>
      <left/>
      <right style="dashed">
        <color theme="3" tint="0.3998840296639912"/>
      </right>
      <top style="dashed">
        <color theme="3" tint="0.3999450666829432"/>
      </top>
      <bottom style="dashed">
        <color theme="3" tint="0.3999450666829432"/>
      </bottom>
      <diagonal/>
    </border>
    <border>
      <left style="thick">
        <color theme="3" tint="0.3999450666829432"/>
      </left>
      <right/>
      <top style="dashed">
        <color theme="3" tint="0.3999450666829432"/>
      </top>
      <bottom style="dashed">
        <color theme="3" tint="0.3999450666829432"/>
      </bottom>
      <diagonal/>
    </border>
    <border>
      <left/>
      <right style="double">
        <color theme="3" tint="0.3999450666829432"/>
      </right>
      <top style="dashed">
        <color theme="3" tint="0.3999450666829432"/>
      </top>
      <bottom style="dashed">
        <color theme="3" tint="0.3999450666829432"/>
      </bottom>
      <diagonal/>
    </border>
    <border>
      <left style="double">
        <color theme="3" tint="0.3999450666829432"/>
      </left>
      <right style="dashed">
        <color theme="3" tint="0.3999145481734672"/>
      </right>
      <top style="thin">
        <color theme="3" tint="0.3999755851924192"/>
      </top>
      <bottom style="thin">
        <color theme="3" tint="0.3999755851924192"/>
      </bottom>
      <diagonal/>
    </border>
    <border>
      <left style="dashed">
        <color theme="3" tint="0.3999145481734672"/>
      </left>
      <right style="dashed">
        <color theme="3" tint="0.3998840296639912"/>
      </right>
      <top style="dashed">
        <color theme="3" tint="0.3999450666829432"/>
      </top>
      <bottom style="dashDot">
        <color theme="3" tint="0.3998840296639912"/>
      </bottom>
      <diagonal/>
    </border>
    <border>
      <left style="thick">
        <color theme="3" tint="0.3999450666829432"/>
      </left>
      <right/>
      <top style="dashed">
        <color theme="3" tint="0.3999450666829432"/>
      </top>
      <bottom/>
      <diagonal/>
    </border>
    <border>
      <left style="dashed">
        <color theme="3" tint="0.3999145481734672"/>
      </left>
      <right style="dashed">
        <color theme="3" tint="0.3998840296639912"/>
      </right>
      <top/>
      <bottom style="dashed">
        <color theme="3" tint="0.3999450666829432"/>
      </bottom>
      <diagonal/>
    </border>
    <border>
      <left style="double">
        <color theme="3" tint="0.3999450666829432"/>
      </left>
      <right style="dashed">
        <color theme="3" tint="0.3999145481734672"/>
      </right>
      <top style="thin">
        <color theme="3" tint="0.3999755851924192"/>
      </top>
      <bottom/>
      <diagonal/>
    </border>
    <border>
      <left style="dashed">
        <color theme="3" tint="0.3999145481734672"/>
      </left>
      <right style="dashed">
        <color theme="3" tint="0.3998840296639912"/>
      </right>
      <top/>
      <bottom/>
      <diagonal/>
    </border>
    <border>
      <left/>
      <right style="dashed">
        <color theme="3" tint="0.3998840296639912"/>
      </right>
      <top style="dashed">
        <color theme="3" tint="0.3999450666829432"/>
      </top>
      <bottom/>
      <diagonal/>
    </border>
    <border>
      <left/>
      <right style="dashed">
        <color theme="3" tint="0.3998840296639912"/>
      </right>
      <top/>
      <bottom/>
      <diagonal/>
    </border>
    <border>
      <left style="thick">
        <color theme="6" tint="-0.249946592608417"/>
      </left>
      <right style="thick">
        <color theme="3" tint="0.3999450666829432"/>
      </right>
      <top/>
      <bottom style="thick">
        <color theme="6" tint="-0.249946592608417"/>
      </bottom>
      <diagonal/>
    </border>
    <border>
      <left style="thick">
        <color theme="3" tint="0.3999450666829432"/>
      </left>
      <right/>
      <top style="dashed">
        <color theme="3" tint="0.3999450666829432"/>
      </top>
      <bottom style="thick">
        <color theme="6" tint="-0.249946592608417"/>
      </bottom>
      <diagonal/>
    </border>
    <border>
      <left style="dashed">
        <color theme="3" tint="0.3999450666829432"/>
      </left>
      <right style="dashed">
        <color theme="3" tint="0.3999450666829432"/>
      </right>
      <top style="dashed">
        <color theme="3" tint="0.3999450666829432"/>
      </top>
      <bottom style="thick">
        <color theme="6" tint="-0.249946592608417"/>
      </bottom>
      <diagonal/>
    </border>
    <border>
      <left/>
      <right style="double">
        <color theme="3" tint="0.3999450666829432"/>
      </right>
      <top style="dashed">
        <color theme="3" tint="0.3999450666829432"/>
      </top>
      <bottom style="thick">
        <color theme="6" tint="-0.249946592608417"/>
      </bottom>
      <diagonal/>
    </border>
    <border>
      <left style="double">
        <color theme="3" tint="0.3999450666829432"/>
      </left>
      <right style="dashed">
        <color theme="3" tint="0.3999145481734672"/>
      </right>
      <top style="thin">
        <color theme="3" tint="0.3999755851924192"/>
      </top>
      <bottom style="thick">
        <color theme="6" tint="-0.249946592608417"/>
      </bottom>
      <diagonal/>
    </border>
    <border>
      <left style="dashed">
        <color theme="3" tint="0.3999145481734672"/>
      </left>
      <right style="dashed">
        <color theme="3" tint="0.3998840296639912"/>
      </right>
      <top style="dashed">
        <color theme="3" tint="0.3999450666829432"/>
      </top>
      <bottom style="thick">
        <color theme="6" tint="-0.249946592608417"/>
      </bottom>
      <diagonal/>
    </border>
    <border>
      <left/>
      <right style="dashed">
        <color theme="3" tint="0.3998840296639912"/>
      </right>
      <top style="dashed">
        <color theme="3" tint="0.3999450666829432"/>
      </top>
      <bottom style="thick">
        <color theme="6" tint="-0.249946592608417"/>
      </bottom>
      <diagonal/>
    </border>
    <border>
      <left style="thick">
        <color theme="6" tint="-0.249946592608417"/>
      </left>
      <right style="thick">
        <color theme="3" tint="0.3999450666829432"/>
      </right>
      <top style="thick">
        <color theme="6" tint="-0.249946592608417"/>
      </top>
      <bottom style="thick">
        <color theme="6" tint="-0.249946592608417"/>
      </bottom>
      <diagonal/>
    </border>
    <border>
      <left style="thick">
        <color theme="3" tint="0.3999450666829432"/>
      </left>
      <right/>
      <top style="thick">
        <color theme="6" tint="-0.249946592608417"/>
      </top>
      <bottom style="thick">
        <color theme="6" tint="-0.249946592608417"/>
      </bottom>
      <diagonal/>
    </border>
    <border>
      <left/>
      <right/>
      <top style="thick">
        <color theme="6" tint="-0.249946592608417"/>
      </top>
      <bottom style="thick">
        <color theme="6" tint="-0.249946592608417"/>
      </bottom>
      <diagonal/>
    </border>
    <border>
      <left/>
      <right style="dashed">
        <color theme="6" tint="-0.249946592608417"/>
      </right>
      <top style="thick">
        <color theme="6" tint="-0.249946592608417"/>
      </top>
      <bottom style="thick">
        <color theme="6" tint="-0.249946592608417"/>
      </bottom>
      <diagonal/>
    </border>
    <border>
      <left style="dotted">
        <color theme="3" tint="0.3998840296639912"/>
      </left>
      <right style="dashed">
        <color theme="3" tint="0.3998840296639912"/>
      </right>
      <top style="thick">
        <color theme="6" tint="-0.249946592608417"/>
      </top>
      <bottom style="thick">
        <color theme="6" tint="-0.249946592608417"/>
      </bottom>
      <diagonal/>
    </border>
    <border>
      <left/>
      <right style="thick">
        <color theme="6" tint="-0.249946592608417"/>
      </right>
      <top style="thick">
        <color theme="6" tint="-0.249946592608417"/>
      </top>
      <bottom style="thick">
        <color theme="6" tint="-0.249946592608417"/>
      </bottom>
      <diagonal/>
    </border>
    <border>
      <left style="thick">
        <color theme="3" tint="0.3999450666829432"/>
      </left>
      <right/>
      <top/>
      <bottom style="dashed">
        <color theme="3" tint="0.3999145481734672"/>
      </bottom>
      <diagonal/>
    </border>
    <border>
      <left style="dashed">
        <color theme="3" tint="0.3999450666829432"/>
      </left>
      <right style="dashed">
        <color theme="3" tint="0.3999450666829432"/>
      </right>
      <top/>
      <bottom style="dashed">
        <color theme="3" tint="0.3999145481734672"/>
      </bottom>
      <diagonal/>
    </border>
    <border>
      <left/>
      <right style="double">
        <color theme="3" tint="0.3999450666829432"/>
      </right>
      <top/>
      <bottom style="dashed">
        <color theme="3" tint="0.3999145481734672"/>
      </bottom>
      <diagonal/>
    </border>
    <border>
      <left style="double">
        <color theme="3" tint="0.3999450666829432"/>
      </left>
      <right/>
      <top style="thick">
        <color theme="6" tint="-0.249946592608417"/>
      </top>
      <bottom style="double">
        <color theme="3" tint="0.3999145481734672"/>
      </bottom>
      <diagonal/>
    </border>
    <border>
      <left style="dashed">
        <color theme="3" tint="0.3999450666829432"/>
      </left>
      <right style="dashed">
        <color theme="3" tint="0.3999450666829432"/>
      </right>
      <top style="thick">
        <color theme="6" tint="-0.249946592608417"/>
      </top>
      <bottom style="dashed">
        <color theme="3" tint="0.3999450666829432"/>
      </bottom>
      <diagonal/>
    </border>
    <border>
      <left style="dashed">
        <color theme="3" tint="0.3999450666829432"/>
      </left>
      <right style="dashed">
        <color theme="3" tint="0.3999145481734672"/>
      </right>
      <top style="thick">
        <color theme="6" tint="-0.249946592608417"/>
      </top>
      <bottom style="dashed">
        <color theme="3" tint="0.3999450666829432"/>
      </bottom>
      <diagonal/>
    </border>
    <border>
      <left style="thick">
        <color theme="3" tint="0.3999450666829432"/>
      </left>
      <right/>
      <top style="dashed">
        <color theme="3" tint="0.3999145481734672"/>
      </top>
      <bottom style="dashed">
        <color theme="3" tint="0.3999145481734672"/>
      </bottom>
      <diagonal/>
    </border>
    <border>
      <left style="dashed">
        <color theme="3" tint="0.3999450666829432"/>
      </left>
      <right style="dashed">
        <color theme="3" tint="0.3999450666829432"/>
      </right>
      <top style="dashed">
        <color theme="3" tint="0.3999145481734672"/>
      </top>
      <bottom style="dashed">
        <color theme="3" tint="0.3999145481734672"/>
      </bottom>
      <diagonal/>
    </border>
    <border>
      <left/>
      <right style="double">
        <color theme="3" tint="0.3999450666829432"/>
      </right>
      <top style="dashed">
        <color theme="3" tint="0.3999145481734672"/>
      </top>
      <bottom style="dashed">
        <color theme="3" tint="0.3999145481734672"/>
      </bottom>
      <diagonal/>
    </border>
    <border>
      <left style="double">
        <color theme="3" tint="0.3999450666829432"/>
      </left>
      <right/>
      <top style="double">
        <color theme="3" tint="0.3999145481734672"/>
      </top>
      <bottom style="double">
        <color theme="3" tint="0.3999145481734672"/>
      </bottom>
      <diagonal/>
    </border>
    <border>
      <left style="thick">
        <color theme="3" tint="0.3999450666829432"/>
      </left>
      <right/>
      <top style="dashed">
        <color theme="3" tint="0.3999145481734672"/>
      </top>
      <bottom/>
      <diagonal/>
    </border>
    <border>
      <left style="dashed">
        <color theme="3" tint="0.3999450666829432"/>
      </left>
      <right style="dashed">
        <color theme="3" tint="0.3999450666829432"/>
      </right>
      <top style="dashed">
        <color theme="3" tint="0.3999145481734672"/>
      </top>
      <bottom/>
      <diagonal/>
    </border>
    <border>
      <left/>
      <right style="double">
        <color theme="3" tint="0.3999450666829432"/>
      </right>
      <top style="dashed">
        <color theme="3" tint="0.3999145481734672"/>
      </top>
      <bottom/>
      <diagonal/>
    </border>
    <border>
      <left style="double">
        <color theme="3" tint="0.3999450666829432"/>
      </left>
      <right/>
      <top style="double">
        <color theme="3" tint="0.3999145481734672"/>
      </top>
      <bottom style="thick">
        <color theme="3" tint="0.3999145481734672"/>
      </bottom>
      <diagonal/>
    </border>
    <border>
      <left style="dashed">
        <color theme="3" tint="0.3999145481734672"/>
      </left>
      <right style="dashed">
        <color theme="3" tint="0.3998840296639912"/>
      </right>
      <top/>
      <bottom style="thick">
        <color theme="3" tint="0.3999145481734672"/>
      </bottom>
      <diagonal/>
    </border>
    <border>
      <left style="thick">
        <color theme="3" tint="0.3999450666829432"/>
      </left>
      <right/>
      <top style="thick">
        <color theme="3" tint="0.3999145481734672"/>
      </top>
      <bottom style="dashed">
        <color theme="3" tint="0.3999145481734672"/>
      </bottom>
      <diagonal/>
    </border>
    <border>
      <left style="dashed">
        <color theme="3" tint="0.3999450666829432"/>
      </left>
      <right style="dashed">
        <color theme="3" tint="0.3999450666829432"/>
      </right>
      <top style="thick">
        <color theme="3" tint="0.3999145481734672"/>
      </top>
      <bottom style="dashed">
        <color theme="3" tint="0.3999145481734672"/>
      </bottom>
      <diagonal/>
    </border>
    <border>
      <left/>
      <right style="double">
        <color theme="3" tint="0.3999450666829432"/>
      </right>
      <top style="thick">
        <color theme="3" tint="0.3999145481734672"/>
      </top>
      <bottom style="dashed">
        <color theme="3" tint="0.3999145481734672"/>
      </bottom>
      <diagonal/>
    </border>
    <border>
      <left style="double">
        <color theme="3" tint="0.3999450666829432"/>
      </left>
      <right style="dashed">
        <color theme="3" tint="0.3999450666829432"/>
      </right>
      <top style="thick">
        <color theme="3" tint="0.3999145481734672"/>
      </top>
      <bottom/>
      <diagonal/>
    </border>
    <border>
      <left style="dashed">
        <color theme="3" tint="0.3999450666829432"/>
      </left>
      <right style="dashed">
        <color theme="3" tint="0.3999450666829432"/>
      </right>
      <top style="thick">
        <color theme="3" tint="0.3999145481734672"/>
      </top>
      <bottom style="dashed">
        <color theme="3" tint="0.3999450666829432"/>
      </bottom>
      <diagonal/>
    </border>
    <border>
      <left style="dashed">
        <color theme="3" tint="0.3999145481734672"/>
      </left>
      <right style="dashed">
        <color theme="3" tint="0.3998840296639912"/>
      </right>
      <top style="thick">
        <color theme="3" tint="0.3999145481734672"/>
      </top>
      <bottom style="dashed">
        <color theme="3" tint="0.3999145481734672"/>
      </bottom>
      <diagonal/>
    </border>
    <border>
      <left style="double">
        <color theme="3" tint="0.3999450666829432"/>
      </left>
      <right style="dashed">
        <color theme="3" tint="0.3999450666829432"/>
      </right>
      <top/>
      <bottom/>
      <diagonal/>
    </border>
    <border>
      <left style="thick">
        <color theme="3" tint="0.3999450666829432"/>
      </left>
      <right/>
      <top style="dashed">
        <color theme="3" tint="0.3999145481734672"/>
      </top>
      <bottom style="thick">
        <color theme="3" tint="0.3999145481734672"/>
      </bottom>
      <diagonal/>
    </border>
    <border>
      <left style="dashed">
        <color theme="3" tint="0.3999450666829432"/>
      </left>
      <right style="dashed">
        <color theme="3" tint="0.3999450666829432"/>
      </right>
      <top style="dashed">
        <color theme="3" tint="0.3999145481734672"/>
      </top>
      <bottom style="thick">
        <color theme="3" tint="0.3999145481734672"/>
      </bottom>
      <diagonal/>
    </border>
    <border>
      <left/>
      <right style="double">
        <color theme="3" tint="0.3999450666829432"/>
      </right>
      <top style="dashed">
        <color theme="3" tint="0.3999145481734672"/>
      </top>
      <bottom style="thick">
        <color theme="3" tint="0.3999145481734672"/>
      </bottom>
      <diagonal/>
    </border>
    <border>
      <left style="double">
        <color theme="3" tint="0.3999450666829432"/>
      </left>
      <right style="dashed">
        <color theme="3" tint="0.3999450666829432"/>
      </right>
      <top/>
      <bottom style="thick">
        <color theme="3" tint="0.3999145481734672"/>
      </bottom>
      <diagonal/>
    </border>
    <border>
      <left style="double">
        <color theme="3" tint="0.3999450666829432"/>
      </left>
      <right/>
      <top/>
      <bottom style="double">
        <color theme="3" tint="0.3999145481734672"/>
      </bottom>
      <diagonal/>
    </border>
    <border>
      <left style="thick">
        <color theme="3" tint="0.3999450666829432"/>
      </left>
      <right/>
      <top style="dashed">
        <color theme="3" tint="0.3999145481734672"/>
      </top>
      <bottom style="thick">
        <color theme="3" tint="0.3999450666829432"/>
      </bottom>
      <diagonal/>
    </border>
    <border>
      <left style="dashed">
        <color theme="3" tint="0.3999450666829432"/>
      </left>
      <right style="dashed">
        <color theme="3" tint="0.3999450666829432"/>
      </right>
      <top style="dashed">
        <color theme="3" tint="0.3999145481734672"/>
      </top>
      <bottom style="thick">
        <color theme="3" tint="0.3999450666829432"/>
      </bottom>
      <diagonal/>
    </border>
    <border>
      <left/>
      <right style="double">
        <color theme="3" tint="0.3999450666829432"/>
      </right>
      <top style="dashed">
        <color theme="3" tint="0.3999145481734672"/>
      </top>
      <bottom style="thick">
        <color theme="3" tint="0.3999450666829432"/>
      </bottom>
      <diagonal/>
    </border>
    <border>
      <left style="double">
        <color theme="3" tint="0.3999450666829432"/>
      </left>
      <right/>
      <top style="double">
        <color theme="3" tint="0.3999145481734672"/>
      </top>
      <bottom style="thick">
        <color theme="3" tint="0.3999450666829432"/>
      </bottom>
      <diagonal/>
    </border>
    <border>
      <left style="dashed">
        <color theme="3" tint="0.3999450666829432"/>
      </left>
      <right style="dashed">
        <color theme="3" tint="0.3999450666829432"/>
      </right>
      <top style="dashed">
        <color theme="3" tint="0.3999450666829432"/>
      </top>
      <bottom style="thick">
        <color theme="3" tint="0.3999450666829432"/>
      </bottom>
      <diagonal/>
    </border>
    <border>
      <left style="dashed">
        <color theme="3" tint="0.3999450666829432"/>
      </left>
      <right style="dashed">
        <color theme="3" tint="0.3999145481734672"/>
      </right>
      <top style="dashed">
        <color theme="3" tint="0.3999450666829432"/>
      </top>
      <bottom style="thick">
        <color theme="3" tint="0.3999450666829432"/>
      </bottom>
      <diagonal/>
    </border>
    <border>
      <left style="thick">
        <color theme="3" tint="0.3999450666829432"/>
      </left>
      <right style="dashed">
        <color theme="3" tint="0.3999145481734672"/>
      </right>
      <top style="thick">
        <color theme="3" tint="0.3999450666829432"/>
      </top>
      <bottom style="dashed">
        <color theme="3" tint="0.3999145481734672"/>
      </bottom>
      <diagonal/>
    </border>
    <border>
      <left style="dashed">
        <color theme="3" tint="0.3999145481734672"/>
      </left>
      <right style="dashed">
        <color theme="3" tint="0.3999145481734672"/>
      </right>
      <top style="thick">
        <color theme="3" tint="0.3999450666829432"/>
      </top>
      <bottom style="dashed">
        <color theme="3" tint="0.3999145481734672"/>
      </bottom>
      <diagonal/>
    </border>
    <border>
      <left style="dashed">
        <color theme="3" tint="0.3999145481734672"/>
      </left>
      <right style="double">
        <color theme="3" tint="0.3999450666829432"/>
      </right>
      <top style="thick">
        <color theme="3" tint="0.3999450666829432"/>
      </top>
      <bottom style="dashed">
        <color theme="3" tint="0.3999145481734672"/>
      </bottom>
      <diagonal/>
    </border>
    <border>
      <left style="double">
        <color theme="3" tint="0.3999450666829432"/>
      </left>
      <right/>
      <top style="thick">
        <color theme="3" tint="0.3999450666829432"/>
      </top>
      <bottom style="thin">
        <color theme="3" tint="0.3999755851924192"/>
      </bottom>
      <diagonal/>
    </border>
    <border>
      <left style="dashed">
        <color theme="3" tint="0.3999450666829432"/>
      </left>
      <right style="dashed">
        <color theme="3" tint="0.3999450666829432"/>
      </right>
      <top style="thick">
        <color theme="3" tint="0.3999450666829432"/>
      </top>
      <bottom style="dashed">
        <color theme="3" tint="0.3999450666829432"/>
      </bottom>
      <diagonal/>
    </border>
    <border>
      <left style="dashed">
        <color theme="3" tint="0.3999450666829432"/>
      </left>
      <right style="dashed">
        <color theme="3" tint="0.3999145481734672"/>
      </right>
      <top style="thick">
        <color theme="3" tint="0.3999450666829432"/>
      </top>
      <bottom/>
      <diagonal/>
    </border>
    <border>
      <left style="thick">
        <color theme="3" tint="0.3999450666829432"/>
      </left>
      <right style="dashed">
        <color theme="3" tint="0.3999145481734672"/>
      </right>
      <top style="dashed">
        <color theme="3" tint="0.3999145481734672"/>
      </top>
      <bottom style="dashed">
        <color theme="3" tint="0.3999145481734672"/>
      </bottom>
      <diagonal/>
    </border>
    <border>
      <left style="dashed">
        <color theme="3" tint="0.3999145481734672"/>
      </left>
      <right style="dashed">
        <color theme="3" tint="0.3999145481734672"/>
      </right>
      <top style="dashed">
        <color theme="3" tint="0.3999145481734672"/>
      </top>
      <bottom style="dashed">
        <color theme="3" tint="0.3999145481734672"/>
      </bottom>
      <diagonal/>
    </border>
    <border>
      <left style="dashed">
        <color theme="3" tint="0.3999145481734672"/>
      </left>
      <right style="double">
        <color theme="3" tint="0.3999450666829432"/>
      </right>
      <top style="dashed">
        <color theme="3" tint="0.3999145481734672"/>
      </top>
      <bottom style="dashed">
        <color theme="3" tint="0.3999145481734672"/>
      </bottom>
      <diagonal/>
    </border>
    <border>
      <left style="double">
        <color theme="3" tint="0.3999450666829432"/>
      </left>
      <right/>
      <top style="thin">
        <color theme="3" tint="0.3999755851924192"/>
      </top>
      <bottom style="thin">
        <color theme="3" tint="0.3999755851924192"/>
      </bottom>
      <diagonal/>
    </border>
    <border>
      <left style="dashed">
        <color theme="3" tint="0.3999450666829432"/>
      </left>
      <right style="dashed">
        <color theme="3" tint="0.3999145481734672"/>
      </right>
      <top style="dashed">
        <color theme="3" tint="0.3999450666829432"/>
      </top>
      <bottom style="dashed">
        <color theme="3" tint="0.3999450666829432"/>
      </bottom>
      <diagonal/>
    </border>
    <border>
      <left style="thick">
        <color theme="3" tint="0.3999450666829432"/>
      </left>
      <right style="dashed">
        <color theme="3" tint="0.3999145481734672"/>
      </right>
      <top style="dashed">
        <color theme="3" tint="0.3999145481734672"/>
      </top>
      <bottom style="thick">
        <color theme="3" tint="0.3999450666829432"/>
      </bottom>
      <diagonal/>
    </border>
    <border>
      <left style="dashed">
        <color theme="3" tint="0.3999145481734672"/>
      </left>
      <right style="dashed">
        <color theme="3" tint="0.3999145481734672"/>
      </right>
      <top style="dashed">
        <color theme="3" tint="0.3999145481734672"/>
      </top>
      <bottom style="thick">
        <color theme="3" tint="0.3999450666829432"/>
      </bottom>
      <diagonal/>
    </border>
    <border>
      <left style="dashed">
        <color theme="3" tint="0.3999145481734672"/>
      </left>
      <right style="double">
        <color theme="3" tint="0.3999450666829432"/>
      </right>
      <top style="dashed">
        <color theme="3" tint="0.3999145481734672"/>
      </top>
      <bottom style="thick">
        <color theme="3" tint="0.3999450666829432"/>
      </bottom>
      <diagonal/>
    </border>
    <border>
      <left style="double">
        <color theme="3" tint="0.3999450666829432"/>
      </left>
      <right/>
      <top style="thin">
        <color theme="3" tint="0.3999755851924192"/>
      </top>
      <bottom style="thick">
        <color theme="3" tint="0.3999450666829432"/>
      </bottom>
      <diagonal/>
    </border>
    <border>
      <left style="thick">
        <color theme="3" tint="0.3999450666829432"/>
      </left>
      <right style="thin">
        <color theme="3" tint="0.3999755851924192"/>
      </right>
      <top style="thick">
        <color theme="3" tint="0.3999450666829432"/>
      </top>
      <bottom style="thick">
        <color theme="6" tint="-0.249946592608417"/>
      </bottom>
      <diagonal/>
    </border>
    <border>
      <left style="thin">
        <color theme="3" tint="0.3999755851924192"/>
      </left>
      <right style="thin">
        <color theme="3" tint="0.3999755851924192"/>
      </right>
      <top style="thick">
        <color theme="3" tint="0.3999450666829432"/>
      </top>
      <bottom style="thick">
        <color theme="6" tint="-0.249946592608417"/>
      </bottom>
      <diagonal/>
    </border>
    <border>
      <left style="thin">
        <color theme="3" tint="0.3999755851924192"/>
      </left>
      <right/>
      <top style="thick">
        <color theme="3" tint="0.3999450666829432"/>
      </top>
      <bottom style="thick">
        <color theme="6" tint="-0.249946592608417"/>
      </bottom>
      <diagonal/>
    </border>
    <border>
      <left style="double">
        <color theme="3" tint="0.3999450666829432"/>
      </left>
      <right/>
      <top style="thick">
        <color theme="3" tint="0.3999450666829432"/>
      </top>
      <bottom style="thick">
        <color theme="6" tint="-0.249946592608417"/>
      </bottom>
      <diagonal/>
    </border>
    <border>
      <left style="dashed">
        <color theme="3" tint="0.3999450666829432"/>
      </left>
      <right style="dashed">
        <color theme="3" tint="0.3999450666829432"/>
      </right>
      <top style="thick">
        <color theme="3" tint="0.3999450666829432"/>
      </top>
      <bottom style="thick">
        <color theme="6" tint="-0.249946592608417"/>
      </bottom>
      <diagonal/>
    </border>
    <border>
      <left style="dashed">
        <color theme="3" tint="0.3999450666829432"/>
      </left>
      <right style="dashed">
        <color theme="3" tint="0.3999145481734672"/>
      </right>
      <top style="thick">
        <color theme="3" tint="0.3999450666829432"/>
      </top>
      <bottom style="thick">
        <color theme="6" tint="-0.249946592608417"/>
      </bottom>
      <diagonal/>
    </border>
    <border>
      <left style="thick">
        <color theme="3" tint="0.3999450666829432"/>
      </left>
      <right style="dashed">
        <color theme="3" tint="0.3999145481734672"/>
      </right>
      <top style="thick">
        <color theme="6" tint="-0.249946592608417"/>
      </top>
      <bottom style="dashed">
        <color theme="3" tint="0.3999145481734672"/>
      </bottom>
      <diagonal/>
    </border>
    <border>
      <left style="dashed">
        <color theme="3" tint="0.3999145481734672"/>
      </left>
      <right style="dashed">
        <color theme="3" tint="0.3999145481734672"/>
      </right>
      <top style="thick">
        <color theme="6" tint="-0.249946592608417"/>
      </top>
      <bottom style="dashed">
        <color theme="3" tint="0.3999145481734672"/>
      </bottom>
      <diagonal/>
    </border>
    <border>
      <left style="dashed">
        <color theme="3" tint="0.3999145481734672"/>
      </left>
      <right style="double">
        <color theme="3" tint="0.3999450666829432"/>
      </right>
      <top style="thick">
        <color theme="6" tint="-0.249946592608417"/>
      </top>
      <bottom style="dashed">
        <color theme="3" tint="0.3999145481734672"/>
      </bottom>
      <diagonal/>
    </border>
    <border>
      <left style="double">
        <color theme="3" tint="0.3999450666829432"/>
      </left>
      <right/>
      <top style="thick">
        <color theme="6" tint="-0.249946592608417"/>
      </top>
      <bottom style="thin">
        <color theme="3" tint="0.3999755851924192"/>
      </bottom>
      <diagonal/>
    </border>
    <border>
      <left style="dashed">
        <color theme="3" tint="0.3999450666829432"/>
      </left>
      <right style="dashed">
        <color theme="3" tint="0.3999450666829432"/>
      </right>
      <top style="dashed">
        <color theme="3" tint="0.3999450666829432"/>
      </top>
      <bottom style="dashed">
        <color theme="3" tint="0.3999145481734672"/>
      </bottom>
      <diagonal/>
    </border>
    <border>
      <left style="thick">
        <color theme="3" tint="0.3999450666829432"/>
      </left>
      <right style="dashed">
        <color theme="3" tint="0.3999145481734672"/>
      </right>
      <top style="dashed">
        <color theme="3" tint="0.3999145481734672"/>
      </top>
      <bottom style="thick">
        <color theme="3" tint="0.3999145481734672"/>
      </bottom>
      <diagonal/>
    </border>
    <border>
      <left style="dashed">
        <color theme="3" tint="0.3999145481734672"/>
      </left>
      <right style="dashed">
        <color theme="3" tint="0.3999145481734672"/>
      </right>
      <top style="dashed">
        <color theme="3" tint="0.3999145481734672"/>
      </top>
      <bottom style="thick">
        <color theme="3" tint="0.3999145481734672"/>
      </bottom>
      <diagonal/>
    </border>
    <border>
      <left style="dashed">
        <color theme="3" tint="0.3999145481734672"/>
      </left>
      <right style="double">
        <color theme="3" tint="0.3999450666829432"/>
      </right>
      <top style="dashed">
        <color theme="3" tint="0.3999145481734672"/>
      </top>
      <bottom style="thick">
        <color theme="3" tint="0.3999145481734672"/>
      </bottom>
      <diagonal/>
    </border>
    <border>
      <left style="double">
        <color theme="3" tint="0.3999450666829432"/>
      </left>
      <right/>
      <top style="thin">
        <color theme="3" tint="0.3999755851924192"/>
      </top>
      <bottom style="thick">
        <color theme="3" tint="0.3999145481734672"/>
      </bottom>
      <diagonal/>
    </border>
    <border>
      <left style="thick">
        <color theme="3" tint="0.3999450666829432"/>
      </left>
      <right style="dashed">
        <color theme="3" tint="0.3999145481734672"/>
      </right>
      <top/>
      <bottom style="dashed">
        <color theme="3" tint="0.3999145481734672"/>
      </bottom>
      <diagonal/>
    </border>
    <border>
      <left style="dashed">
        <color theme="3" tint="0.3999145481734672"/>
      </left>
      <right style="dashed">
        <color theme="3" tint="0.3999145481734672"/>
      </right>
      <top/>
      <bottom style="dashed">
        <color theme="3" tint="0.3999145481734672"/>
      </bottom>
      <diagonal/>
    </border>
    <border>
      <left style="dashed">
        <color theme="3" tint="0.3999145481734672"/>
      </left>
      <right style="double">
        <color theme="3" tint="0.3999450666829432"/>
      </right>
      <top/>
      <bottom style="dashed">
        <color theme="3" tint="0.3999145481734672"/>
      </bottom>
      <diagonal/>
    </border>
    <border>
      <left style="double">
        <color theme="3" tint="0.3999450666829432"/>
      </left>
      <right/>
      <top/>
      <bottom style="thin">
        <color theme="3" tint="0.3999755851924192"/>
      </bottom>
      <diagonal/>
    </border>
    <border>
      <left style="double">
        <color theme="3" tint="0.3999450666829432"/>
      </left>
      <right/>
      <top style="thin">
        <color theme="3" tint="0.3999755851924192"/>
      </top>
      <bottom/>
      <diagonal/>
    </border>
    <border>
      <left/>
      <right/>
      <top style="dashed">
        <color theme="3" tint="0.3999450666829432"/>
      </top>
      <bottom/>
      <diagonal/>
    </border>
    <border>
      <left style="thick">
        <color theme="3" tint="0.3999450666829432"/>
      </left>
      <right style="thin">
        <color theme="3" tint="0.3999755851924192"/>
      </right>
      <top style="thick">
        <color theme="3" tint="0.3999450666829432"/>
      </top>
      <bottom style="thin">
        <color theme="3" tint="0.3999145481734672"/>
      </bottom>
      <diagonal/>
    </border>
    <border>
      <left style="thin">
        <color theme="3" tint="0.3999755851924192"/>
      </left>
      <right style="thin">
        <color theme="3" tint="0.3999755851924192"/>
      </right>
      <top style="thick">
        <color theme="3" tint="0.3999450666829432"/>
      </top>
      <bottom style="thin">
        <color theme="3" tint="0.3999145481734672"/>
      </bottom>
      <diagonal/>
    </border>
    <border>
      <left style="thin">
        <color theme="3" tint="0.3999755851924192"/>
      </left>
      <right style="double">
        <color theme="3" tint="0.3999450666829432"/>
      </right>
      <top style="thick">
        <color theme="3" tint="0.3999450666829432"/>
      </top>
      <bottom style="thin">
        <color theme="3" tint="0.3999145481734672"/>
      </bottom>
      <diagonal/>
    </border>
    <border>
      <left style="thick">
        <color theme="3" tint="0.3999450666829432"/>
      </left>
      <right style="dashed">
        <color theme="3" tint="0.3999145481734672"/>
      </right>
      <top style="thin">
        <color theme="3" tint="0.3999145481734672"/>
      </top>
      <bottom style="dashed">
        <color theme="3" tint="0.3999145481734672"/>
      </bottom>
      <diagonal/>
    </border>
    <border>
      <left style="dashed">
        <color theme="3" tint="0.3999145481734672"/>
      </left>
      <right style="dashed">
        <color theme="3" tint="0.3999145481734672"/>
      </right>
      <top style="thin">
        <color theme="3" tint="0.3999145481734672"/>
      </top>
      <bottom style="dashed">
        <color theme="3" tint="0.3999145481734672"/>
      </bottom>
      <diagonal/>
    </border>
    <border>
      <left style="dashed">
        <color theme="3" tint="0.3999145481734672"/>
      </left>
      <right style="double">
        <color theme="3" tint="0.3999450666829432"/>
      </right>
      <top style="thin">
        <color theme="3" tint="0.3999145481734672"/>
      </top>
      <bottom style="dashed">
        <color theme="3" tint="0.3999145481734672"/>
      </bottom>
      <diagonal/>
    </border>
    <border>
      <left style="thick">
        <color theme="3" tint="0.3999450666829432"/>
      </left>
      <right style="dashed">
        <color theme="3" tint="0.3999145481734672"/>
      </right>
      <top style="dashed">
        <color theme="3" tint="0.3999145481734672"/>
      </top>
      <bottom/>
      <diagonal/>
    </border>
    <border>
      <left style="dashed">
        <color theme="3" tint="0.3999145481734672"/>
      </left>
      <right style="dashed">
        <color theme="3" tint="0.3999145481734672"/>
      </right>
      <top style="dashed">
        <color theme="3" tint="0.3999145481734672"/>
      </top>
      <bottom/>
      <diagonal/>
    </border>
    <border>
      <left style="dashed">
        <color theme="3" tint="0.3999145481734672"/>
      </left>
      <right style="double">
        <color theme="3" tint="0.3999450666829432"/>
      </right>
      <top style="dashed">
        <color theme="3" tint="0.3999145481734672"/>
      </top>
      <bottom/>
      <diagonal/>
    </border>
    <border>
      <left style="double">
        <color theme="3" tint="0.3999450666829432"/>
      </left>
      <right style="dashed">
        <color theme="3" tint="0.3999450666829432"/>
      </right>
      <top style="thick">
        <color theme="3" tint="0.3999450666829432"/>
      </top>
      <bottom/>
      <diagonal/>
    </border>
    <border>
      <left style="thick">
        <color theme="3" tint="0.3999450666829432"/>
      </left>
      <right style="dashed">
        <color theme="3" tint="0.3999145481734672"/>
      </right>
      <top style="dashed">
        <color theme="3" tint="0.3999145481734672"/>
      </top>
      <bottom style="thin">
        <color theme="3" tint="0.3999145481734672"/>
      </bottom>
      <diagonal/>
    </border>
    <border>
      <left style="dashed">
        <color theme="3" tint="0.3999145481734672"/>
      </left>
      <right style="dashed">
        <color theme="3" tint="0.3999145481734672"/>
      </right>
      <top style="dashed">
        <color theme="3" tint="0.3999145481734672"/>
      </top>
      <bottom style="thin">
        <color theme="3" tint="0.3999145481734672"/>
      </bottom>
      <diagonal/>
    </border>
    <border>
      <left style="thin">
        <color theme="3" tint="0.3999755851924192"/>
      </left>
      <right style="double">
        <color theme="3" tint="0.3999450666829432"/>
      </right>
      <top style="thin">
        <color theme="3" tint="0.3999450666829432"/>
      </top>
      <bottom style="thick">
        <color theme="6" tint="-0.249946592608417"/>
      </bottom>
      <diagonal/>
    </border>
    <border>
      <left style="double">
        <color theme="3" tint="0.3999450666829432"/>
      </left>
      <right style="dashed">
        <color theme="3" tint="0.3999450666829432"/>
      </right>
      <top/>
      <bottom style="thick">
        <color theme="6" tint="-0.249946592608417"/>
      </bottom>
      <diagonal/>
    </border>
    <border>
      <left style="dashed">
        <color theme="3" tint="0.3999450666829432"/>
      </left>
      <right style="dashed">
        <color theme="3" tint="0.3999450666829432"/>
      </right>
      <top/>
      <bottom style="thick">
        <color theme="6" tint="-0.249946592608417"/>
      </bottom>
      <diagonal/>
    </border>
    <border>
      <left style="thick">
        <color theme="6" tint="-0.249946592608417"/>
      </left>
      <right/>
      <top/>
      <bottom style="thick">
        <color theme="6" tint="-0.249946592608417"/>
      </bottom>
      <diagonal/>
    </border>
    <border>
      <left style="thick">
        <color theme="3" tint="0.3999450666829432"/>
      </left>
      <right style="thin">
        <color theme="3" tint="0.3999755851924192"/>
      </right>
      <top style="thick">
        <color theme="3" tint="0.3999450666829432"/>
      </top>
      <bottom style="thin">
        <color theme="3" tint="0.3999755851924192"/>
      </bottom>
      <diagonal/>
    </border>
    <border>
      <left style="thin">
        <color theme="3" tint="0.3999755851924192"/>
      </left>
      <right style="thin">
        <color theme="3" tint="0.3999755851924192"/>
      </right>
      <top style="thick">
        <color theme="3" tint="0.3999450666829432"/>
      </top>
      <bottom style="thin">
        <color theme="3" tint="0.3999755851924192"/>
      </bottom>
      <diagonal/>
    </border>
    <border>
      <left style="thin">
        <color theme="3" tint="0.3999755851924192"/>
      </left>
      <right/>
      <top style="thick">
        <color theme="3" tint="0.3999450666829432"/>
      </top>
      <bottom style="thin">
        <color theme="3" tint="0.3999755851924192"/>
      </bottom>
      <diagonal/>
    </border>
    <border>
      <left style="thick">
        <color theme="3" tint="0.3999450666829432"/>
      </left>
      <right style="dashed">
        <color theme="3" tint="0.3999145481734672"/>
      </right>
      <top style="thin">
        <color theme="3" tint="0.3999755851924192"/>
      </top>
      <bottom style="dashed">
        <color theme="3" tint="0.3999145481734672"/>
      </bottom>
      <diagonal/>
    </border>
    <border>
      <left style="dashed">
        <color theme="3" tint="0.3999145481734672"/>
      </left>
      <right style="dashed">
        <color theme="3" tint="0.3999145481734672"/>
      </right>
      <top style="thin">
        <color theme="3" tint="0.3999755851924192"/>
      </top>
      <bottom style="dashed">
        <color theme="3" tint="0.3999145481734672"/>
      </bottom>
      <diagonal/>
    </border>
    <border>
      <left style="dashed">
        <color theme="3" tint="0.3999145481734672"/>
      </left>
      <right style="double">
        <color theme="3" tint="0.3999450666829432"/>
      </right>
      <top style="thin">
        <color theme="3" tint="0.3999755851924192"/>
      </top>
      <bottom style="dashed">
        <color theme="3" tint="0.3999145481734672"/>
      </bottom>
      <diagonal/>
    </border>
    <border>
      <left style="thick">
        <color theme="3" tint="0.3999450666829432"/>
      </left>
      <right style="thin">
        <color theme="3" tint="0.3999755851924192"/>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3" tint="0.3999755851924192"/>
      </left>
      <right/>
      <top style="thin">
        <color theme="3" tint="0.3999755851924192"/>
      </top>
      <bottom style="thin">
        <color theme="3" tint="0.3999755851924192"/>
      </bottom>
      <diagonal/>
    </border>
    <border>
      <left style="thick">
        <color theme="3" tint="0.3999450666829432"/>
      </left>
      <right style="thin">
        <color theme="3" tint="0.3999755851924192"/>
      </right>
      <top style="thin">
        <color theme="3" tint="0.3999755851924192"/>
      </top>
      <bottom style="thick">
        <color theme="3" tint="0.3999450666829432"/>
      </bottom>
      <diagonal/>
    </border>
    <border>
      <left style="thin">
        <color theme="3" tint="0.3999755851924192"/>
      </left>
      <right style="thin">
        <color theme="3" tint="0.3999755851924192"/>
      </right>
      <top style="thin">
        <color theme="3" tint="0.3999755851924192"/>
      </top>
      <bottom style="thick">
        <color theme="3" tint="0.3999450666829432"/>
      </bottom>
      <diagonal/>
    </border>
    <border>
      <left style="thin">
        <color theme="3" tint="0.3999755851924192"/>
      </left>
      <right/>
      <top style="thin">
        <color theme="3" tint="0.3999755851924192"/>
      </top>
      <bottom style="thick">
        <color theme="3" tint="0.3999450666829432"/>
      </bottom>
      <diagonal/>
    </border>
    <border>
      <left style="thick">
        <color theme="3" tint="0.3999450666829432"/>
      </left>
      <right style="thin">
        <color theme="3" tint="0.3999755851924192"/>
      </right>
      <top style="thick">
        <color theme="3" tint="0.3999450666829432"/>
      </top>
      <bottom style="thick">
        <color theme="3" tint="0.3999450666829432"/>
      </bottom>
      <diagonal/>
    </border>
    <border>
      <left style="thin">
        <color theme="3" tint="0.3999755851924192"/>
      </left>
      <right style="thin">
        <color theme="3" tint="0.3999755851924192"/>
      </right>
      <top style="thick">
        <color theme="3" tint="0.3999450666829432"/>
      </top>
      <bottom style="thick">
        <color theme="3" tint="0.3999450666829432"/>
      </bottom>
      <diagonal/>
    </border>
    <border>
      <left style="thin">
        <color theme="3" tint="0.3999755851924192"/>
      </left>
      <right/>
      <top style="thick">
        <color theme="3" tint="0.3999450666829432"/>
      </top>
      <bottom style="thick">
        <color theme="3" tint="0.3999450666829432"/>
      </bottom>
      <diagonal/>
    </border>
    <border>
      <left style="double">
        <color theme="3" tint="0.3999450666829432"/>
      </left>
      <right/>
      <top style="thick">
        <color theme="3" tint="0.3999450666829432"/>
      </top>
      <bottom style="thick">
        <color theme="3" tint="0.3999450666829432"/>
      </bottom>
      <diagonal/>
    </border>
    <border>
      <left style="dashed">
        <color theme="3" tint="0.3999450666829432"/>
      </left>
      <right style="dashed">
        <color theme="3" tint="0.3999450666829432"/>
      </right>
      <top style="thick">
        <color theme="3" tint="0.3999450666829432"/>
      </top>
      <bottom style="thick">
        <color theme="3" tint="0.3999450666829432"/>
      </bottom>
      <diagonal/>
    </border>
    <border>
      <left/>
      <right style="dashed">
        <color theme="3" tint="0.3999450666829432"/>
      </right>
      <top style="thick">
        <color theme="6" tint="-0.249946592608417"/>
      </top>
      <bottom style="thick">
        <color theme="6" tint="-0.249946592608417"/>
      </bottom>
      <diagonal/>
    </border>
    <border>
      <left style="dotted">
        <color theme="3" tint="0.3998840296639912"/>
      </left>
      <right style="thick">
        <color theme="6" tint="-0.249946592608417"/>
      </right>
      <top style="thick">
        <color theme="6" tint="-0.249946592608417"/>
      </top>
      <bottom style="thick">
        <color theme="6" tint="-0.249946592608417"/>
      </bottom>
      <diagonal/>
    </border>
    <border>
      <left/>
      <right/>
      <top/>
      <bottom style="thick">
        <color theme="6" tint="-0.249946592608417"/>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diagonal/>
    </border>
    <border>
      <left style="thin">
        <color indexed="8"/>
      </left>
      <right style="thin">
        <color indexed="8"/>
      </right>
      <top/>
      <bottom style="thin">
        <color indexed="64"/>
      </bottom>
      <diagonal/>
    </border>
    <border>
      <left/>
      <right style="thin">
        <color indexed="8"/>
      </right>
      <top/>
      <bottom/>
      <diagonal/>
    </border>
    <border>
      <left/>
      <right style="thin">
        <color indexed="64"/>
      </right>
      <top style="thin">
        <color indexed="64"/>
      </top>
      <bottom style="thin">
        <color indexed="64"/>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indexed="64"/>
      </left>
      <right style="thin">
        <color indexed="64"/>
      </right>
      <top/>
      <bottom/>
      <diagonal/>
    </border>
    <border>
      <left style="thick">
        <color theme="3" tint="0.3999450666829432"/>
      </left>
      <right style="dashed">
        <color theme="6" tint="-0.249946592608417"/>
      </right>
      <top style="thick">
        <color theme="6" tint="-0.249946592608417"/>
      </top>
      <bottom style="thick">
        <color theme="6" tint="-0.249946592608417"/>
      </bottom>
      <diagonal/>
    </border>
    <border>
      <left/>
      <right/>
      <top style="thick">
        <color theme="6" tint="-0.249946592608417"/>
      </top>
      <bottom/>
      <diagonal/>
    </border>
    <border>
      <left/>
      <right style="dashed">
        <color theme="6" tint="-0.249946592608417"/>
      </right>
      <top style="thick">
        <color theme="6" tint="-0.249946592608417"/>
      </top>
      <bottom/>
      <diagonal/>
    </border>
    <border>
      <left style="thick">
        <color theme="3" tint="0.3999450666829432"/>
      </left>
      <right style="dashed">
        <color theme="3" tint="0.3999450666829432"/>
      </right>
      <top style="thick">
        <color theme="6" tint="-0.249946592608417"/>
      </top>
      <bottom style="thick">
        <color theme="6" tint="-0.249946592608417"/>
      </bottom>
      <diagonal/>
    </border>
    <border>
      <left/>
      <right style="dashed">
        <color theme="3" tint="0.3999450666829432"/>
      </right>
      <top style="thick">
        <color theme="6" tint="-0.249946592608417"/>
      </top>
      <bottom/>
      <diagonal/>
    </border>
    <border>
      <left style="thick">
        <color theme="6" tint="-0.249946592608417"/>
      </left>
      <right/>
      <top/>
      <bottom/>
      <diagonal/>
    </border>
    <border>
      <left style="double">
        <color theme="3" tint="0.3999450666829432"/>
      </left>
      <right style="dashed">
        <color theme="3" tint="0.3999450666829432"/>
      </right>
      <top style="thick">
        <color theme="3" tint="0.3999450666829432"/>
      </top>
      <bottom style="thick">
        <color theme="6" tint="-0.249946592608417"/>
      </bottom>
      <diagonal/>
    </border>
    <border>
      <left style="double">
        <color theme="3" tint="0.3999450666829432"/>
      </left>
      <right style="dashed">
        <color theme="3" tint="0.3999450666829432"/>
      </right>
      <top style="thick">
        <color theme="3" tint="0.3999145481734672"/>
      </top>
      <bottom style="thick">
        <color theme="3" tint="0.3999145481734672"/>
      </bottom>
      <diagonal/>
    </border>
    <border>
      <left style="double">
        <color theme="3" tint="0.3999450666829432"/>
      </left>
      <right style="dashed">
        <color theme="3" tint="0.3999145481734672"/>
      </right>
      <top/>
      <bottom/>
      <diagonal/>
    </border>
    <border>
      <left style="double">
        <color theme="3" tint="0.3999450666829432"/>
      </left>
      <right style="dashed">
        <color theme="3" tint="0.3999145481734672"/>
      </right>
      <top/>
      <bottom style="dashed">
        <color theme="3" tint="0.3999145481734672"/>
      </bottom>
      <diagonal/>
    </border>
    <border>
      <left style="double">
        <color theme="3" tint="0.3999450666829432"/>
      </left>
      <right/>
      <top style="thick">
        <color theme="3" tint="0.3999145481734672"/>
      </top>
      <bottom style="thick">
        <color theme="3" tint="0.3999450666829432"/>
      </bottom>
      <diagonal/>
    </border>
    <border>
      <left style="double">
        <color theme="3" tint="0.3999450666829432"/>
      </left>
      <right style="dashed">
        <color theme="3" tint="0.3999145481734672"/>
      </right>
      <top/>
      <bottom style="thin">
        <color theme="3" tint="0.3999755851924192"/>
      </bottom>
      <diagonal/>
    </border>
    <border>
      <left/>
      <right style="thin">
        <color rgb="FF000000"/>
      </right>
      <top style="thin">
        <color rgb="FF000000"/>
      </top>
      <bottom/>
      <diagonal/>
    </border>
    <border>
      <left/>
      <right style="thin">
        <color rgb="FF000000"/>
      </right>
      <top/>
      <bottom style="thin">
        <color rgb="FF000000"/>
      </bottom>
      <diagonal/>
    </border>
  </borders>
  <cellStyleXfs count="8">
    <xf borderId="0" fillId="0" fontId="3" numFmtId="0"/>
    <xf borderId="0" fillId="4" fontId="2" numFmtId="0"/>
    <xf borderId="0" fillId="0" fontId="3" numFmtId="9"/>
    <xf borderId="0" fillId="0" fontId="19" numFmtId="0"/>
    <xf borderId="0" fillId="0" fontId="19" numFmtId="9"/>
    <xf borderId="0" fillId="0" fontId="19" numFmtId="168"/>
    <xf borderId="0" fillId="0" fontId="19" numFmtId="0"/>
    <xf borderId="0" fillId="0" fontId="3" numFmtId="0"/>
  </cellStyleXfs>
  <cellXfs count="653">
    <xf borderId="0" fillId="0" fontId="0" numFmtId="0" pivotButton="0" quotePrefix="0" xfId="0"/>
    <xf borderId="0" fillId="0" fontId="1" numFmtId="0" pivotButton="0" quotePrefix="0" xfId="0"/>
    <xf borderId="0" fillId="0" fontId="4" numFmtId="49" pivotButton="0" quotePrefix="0" xfId="0"/>
    <xf borderId="1" fillId="5" fontId="4" numFmtId="49" pivotButton="0" quotePrefix="0" xfId="0"/>
    <xf borderId="1" fillId="0" fontId="4" numFmtId="49" pivotButton="0" quotePrefix="0" xfId="0"/>
    <xf borderId="5" fillId="0" fontId="4" numFmtId="49" pivotButton="0" quotePrefix="0" xfId="0"/>
    <xf borderId="6" fillId="0" fontId="4" numFmtId="49" pivotButton="0" quotePrefix="0" xfId="0"/>
    <xf borderId="3" fillId="0" fontId="4" numFmtId="49" pivotButton="0" quotePrefix="0" xfId="0"/>
    <xf borderId="7" fillId="0" fontId="4" numFmtId="49" pivotButton="0" quotePrefix="0" xfId="0"/>
    <xf borderId="8" fillId="0" fontId="4" numFmtId="49" pivotButton="0" quotePrefix="0" xfId="0"/>
    <xf borderId="5" fillId="5" fontId="4" numFmtId="49" pivotButton="0" quotePrefix="0" xfId="0"/>
    <xf applyAlignment="1" borderId="6" fillId="5" fontId="6" numFmtId="49" pivotButton="0" quotePrefix="1" xfId="0">
      <alignment horizontal="center"/>
    </xf>
    <xf applyAlignment="1" borderId="3" fillId="5" fontId="6" numFmtId="49" pivotButton="0" quotePrefix="1" xfId="0">
      <alignment horizontal="center"/>
    </xf>
    <xf borderId="6" fillId="6" fontId="4" numFmtId="2" pivotButton="0" quotePrefix="0" xfId="0"/>
    <xf borderId="3" fillId="6" fontId="4" numFmtId="2" pivotButton="0" quotePrefix="0" xfId="0"/>
    <xf borderId="6" fillId="2" fontId="7" numFmtId="2" pivotButton="0" quotePrefix="0" xfId="0"/>
    <xf borderId="3" fillId="2" fontId="7" numFmtId="2" pivotButton="0" quotePrefix="0" xfId="0"/>
    <xf applyAlignment="1" borderId="5" fillId="0" fontId="4" numFmtId="49" pivotButton="0" quotePrefix="1" xfId="0">
      <alignment horizontal="center"/>
    </xf>
    <xf applyAlignment="1" borderId="5" fillId="0" fontId="4" numFmtId="49" pivotButton="0" quotePrefix="0" xfId="0">
      <alignment horizontal="center"/>
    </xf>
    <xf applyAlignment="1" borderId="1" fillId="0" fontId="4" numFmtId="2" pivotButton="0" quotePrefix="0" xfId="0">
      <alignment horizontal="right"/>
    </xf>
    <xf applyAlignment="1" borderId="6" fillId="0" fontId="4" numFmtId="49" pivotButton="0" quotePrefix="1" xfId="0">
      <alignment horizontal="center"/>
    </xf>
    <xf applyAlignment="1" borderId="6" fillId="0" fontId="4" numFmtId="49" pivotButton="0" quotePrefix="0" xfId="0">
      <alignment horizontal="center"/>
    </xf>
    <xf applyAlignment="1" borderId="3" fillId="0" fontId="4" numFmtId="2" pivotButton="0" quotePrefix="0" xfId="0">
      <alignment horizontal="right"/>
    </xf>
    <xf applyAlignment="1" borderId="7" fillId="0" fontId="4" numFmtId="49" pivotButton="0" quotePrefix="1" xfId="0">
      <alignment horizontal="center"/>
    </xf>
    <xf applyAlignment="1" borderId="7" fillId="0" fontId="4" numFmtId="49" pivotButton="0" quotePrefix="0" xfId="0">
      <alignment horizontal="center"/>
    </xf>
    <xf applyAlignment="1" borderId="8" fillId="0" fontId="4" numFmtId="2" pivotButton="0" quotePrefix="0" xfId="0">
      <alignment horizontal="right"/>
    </xf>
    <xf borderId="6" fillId="2" fontId="4" numFmtId="2" pivotButton="0" quotePrefix="0" xfId="0"/>
    <xf borderId="0" fillId="0" fontId="4" numFmtId="0" pivotButton="0" quotePrefix="0" xfId="0"/>
    <xf applyAlignment="1" borderId="0" fillId="0" fontId="0" numFmtId="0" pivotButton="0" quotePrefix="0" xfId="0">
      <alignment horizontal="center" vertical="center"/>
    </xf>
    <xf borderId="10" fillId="0" fontId="0" numFmtId="0" pivotButton="0" quotePrefix="0" xfId="0"/>
    <xf applyAlignment="1" borderId="0" fillId="0" fontId="1" numFmtId="0" pivotButton="0" quotePrefix="0" xfId="0">
      <alignment vertical="top"/>
    </xf>
    <xf applyAlignment="1" borderId="0" fillId="0" fontId="1" numFmtId="0" pivotButton="0" quotePrefix="0" xfId="0">
      <alignment horizontal="center" vertical="top" wrapText="1"/>
    </xf>
    <xf applyAlignment="1" borderId="0" fillId="0" fontId="0" numFmtId="2" pivotButton="0" quotePrefix="0" xfId="0">
      <alignment horizontal="center" vertical="center"/>
    </xf>
    <xf applyAlignment="1" borderId="0" fillId="0" fontId="12" numFmtId="0" pivotButton="0" quotePrefix="0" xfId="0">
      <alignment vertical="center"/>
    </xf>
    <xf applyAlignment="1" borderId="0" fillId="0" fontId="11" numFmtId="2" pivotButton="0" quotePrefix="0" xfId="0">
      <alignment horizontal="center" vertical="center"/>
    </xf>
    <xf applyAlignment="1" borderId="0" fillId="0" fontId="11" numFmtId="10" pivotButton="0" quotePrefix="0" xfId="0">
      <alignment horizontal="center" vertical="center"/>
    </xf>
    <xf applyAlignment="1" borderId="0" fillId="0" fontId="11" numFmtId="10" pivotButton="0" quotePrefix="0" xfId="2">
      <alignment horizontal="center" vertical="center"/>
    </xf>
    <xf borderId="0" fillId="0" fontId="13" numFmtId="0" pivotButton="0" quotePrefix="0" xfId="3"/>
    <xf applyAlignment="1" borderId="0" fillId="0" fontId="15" numFmtId="0" pivotButton="0" quotePrefix="0" xfId="3">
      <alignment horizontal="left"/>
    </xf>
    <xf applyAlignment="1" borderId="0" fillId="0" fontId="16" numFmtId="0" pivotButton="0" quotePrefix="0" xfId="3">
      <alignment horizontal="left"/>
    </xf>
    <xf applyAlignment="1" borderId="0" fillId="0" fontId="14" numFmtId="0" pivotButton="0" quotePrefix="0" xfId="3">
      <alignment horizontal="left"/>
    </xf>
    <xf applyAlignment="1" borderId="0" fillId="0" fontId="17" numFmtId="0" pivotButton="0" quotePrefix="0" xfId="3">
      <alignment horizontal="right"/>
    </xf>
    <xf borderId="0" fillId="0" fontId="18" numFmtId="0" pivotButton="0" quotePrefix="0" xfId="3"/>
    <xf borderId="0" fillId="0" fontId="19" numFmtId="0" pivotButton="0" quotePrefix="0" xfId="3"/>
    <xf applyAlignment="1" borderId="0" fillId="0" fontId="20" numFmtId="0" pivotButton="0" quotePrefix="0" xfId="3">
      <alignment horizontal="left"/>
    </xf>
    <xf borderId="0" fillId="0" fontId="17" numFmtId="0" pivotButton="0" quotePrefix="0" xfId="3"/>
    <xf applyAlignment="1" borderId="0" fillId="0" fontId="17" numFmtId="0" pivotButton="0" quotePrefix="0" xfId="3">
      <alignment vertical="center"/>
    </xf>
    <xf applyAlignment="1" borderId="0" fillId="0" fontId="16" numFmtId="0" pivotButton="0" quotePrefix="0" xfId="3">
      <alignment vertical="center"/>
    </xf>
    <xf applyAlignment="1" borderId="0" fillId="0" fontId="13" numFmtId="0" pivotButton="0" quotePrefix="0" xfId="3">
      <alignment vertical="center"/>
    </xf>
    <xf applyAlignment="1" borderId="0" fillId="0" fontId="23" numFmtId="0" pivotButton="0" quotePrefix="0" xfId="3">
      <alignment vertical="center"/>
    </xf>
    <xf applyAlignment="1" borderId="0" fillId="0" fontId="15" numFmtId="0" pivotButton="0" quotePrefix="0" xfId="3">
      <alignment vertical="center"/>
    </xf>
    <xf applyAlignment="1" borderId="0" fillId="0" fontId="18" numFmtId="0" pivotButton="0" quotePrefix="0" xfId="3">
      <alignment vertical="center"/>
    </xf>
    <xf applyAlignment="1" borderId="0" fillId="0" fontId="13" numFmtId="0" pivotButton="0" quotePrefix="0" xfId="3">
      <alignment horizontal="right"/>
    </xf>
    <xf borderId="0" fillId="0" fontId="13" numFmtId="3" pivotButton="0" quotePrefix="0" xfId="3"/>
    <xf borderId="0" fillId="0" fontId="20" numFmtId="0" pivotButton="0" quotePrefix="0" xfId="3"/>
    <xf borderId="0" fillId="0" fontId="25" numFmtId="0" pivotButton="0" quotePrefix="0" xfId="3"/>
    <xf borderId="0" fillId="0" fontId="26" numFmtId="0" pivotButton="0" quotePrefix="0" xfId="3"/>
    <xf applyAlignment="1" borderId="13" fillId="0" fontId="28" numFmtId="0" pivotButton="0" quotePrefix="0" xfId="3">
      <alignment horizontal="centerContinuous" vertical="center"/>
    </xf>
    <xf applyAlignment="1" borderId="0" fillId="0" fontId="28" numFmtId="0" pivotButton="0" quotePrefix="0" xfId="3">
      <alignment horizontal="centerContinuous" vertical="center"/>
    </xf>
    <xf applyAlignment="1" borderId="0" fillId="0" fontId="29" numFmtId="0" pivotButton="0" quotePrefix="0" xfId="3">
      <alignment horizontal="centerContinuous" vertical="center"/>
    </xf>
    <xf applyAlignment="1" borderId="0" fillId="0" fontId="18" numFmtId="0" pivotButton="0" quotePrefix="0" xfId="3">
      <alignment horizontal="centerContinuous" vertical="center"/>
    </xf>
    <xf applyAlignment="1" borderId="14" fillId="0" fontId="18" numFmtId="0" pivotButton="0" quotePrefix="0" xfId="3">
      <alignment horizontal="centerContinuous" vertical="center"/>
    </xf>
    <xf applyAlignment="1" borderId="0" fillId="0" fontId="18" numFmtId="0" pivotButton="0" quotePrefix="0" xfId="3">
      <alignment horizontal="center" vertical="center"/>
    </xf>
    <xf borderId="13" fillId="0" fontId="13" numFmtId="0" pivotButton="0" quotePrefix="0" xfId="3"/>
    <xf borderId="0" fillId="0" fontId="30" numFmtId="164" pivotButton="0" quotePrefix="0" xfId="3"/>
    <xf borderId="0" fillId="0" fontId="30" numFmtId="0" pivotButton="0" quotePrefix="0" xfId="3"/>
    <xf borderId="14" fillId="0" fontId="13" numFmtId="0" pivotButton="0" quotePrefix="0" xfId="3"/>
    <xf applyAlignment="1" borderId="0" fillId="0" fontId="27" numFmtId="0" pivotButton="0" quotePrefix="0" xfId="3">
      <alignment horizontal="left"/>
    </xf>
    <xf applyAlignment="1" borderId="0" fillId="0" fontId="31" numFmtId="0" pivotButton="0" quotePrefix="0" xfId="3">
      <alignment horizontal="left"/>
    </xf>
    <xf borderId="0" fillId="0" fontId="13" numFmtId="4" pivotButton="0" quotePrefix="0" xfId="3"/>
    <xf borderId="0" fillId="0" fontId="32" numFmtId="2" pivotButton="0" quotePrefix="0" xfId="3"/>
    <xf borderId="0" fillId="0" fontId="32" numFmtId="0" pivotButton="0" quotePrefix="0" xfId="3"/>
    <xf borderId="0" fillId="0" fontId="13" numFmtId="2" pivotButton="0" quotePrefix="0" xfId="3"/>
    <xf applyAlignment="1" borderId="0" fillId="0" fontId="13" numFmtId="9" pivotButton="0" quotePrefix="0" xfId="4">
      <alignment horizontal="left"/>
    </xf>
    <xf applyAlignment="1" borderId="13" fillId="0" fontId="13" numFmtId="0" pivotButton="0" quotePrefix="0" xfId="3">
      <alignment horizontal="center"/>
    </xf>
    <xf applyAlignment="1" borderId="0" fillId="0" fontId="13" numFmtId="0" pivotButton="0" quotePrefix="0" xfId="3">
      <alignment horizontal="center"/>
    </xf>
    <xf applyAlignment="1" borderId="0" fillId="0" fontId="13" numFmtId="0" pivotButton="0" quotePrefix="0" xfId="3">
      <alignment horizontal="left" vertical="center"/>
    </xf>
    <xf borderId="0" fillId="0" fontId="27" numFmtId="0" pivotButton="0" quotePrefix="0" xfId="3"/>
    <xf borderId="15" fillId="0" fontId="13" numFmtId="0" pivotButton="0" quotePrefix="0" xfId="3"/>
    <xf borderId="16" fillId="0" fontId="13" numFmtId="0" pivotButton="0" quotePrefix="0" xfId="3"/>
    <xf borderId="16" fillId="0" fontId="32" numFmtId="0" pivotButton="0" quotePrefix="0" xfId="3"/>
    <xf borderId="17" fillId="0" fontId="13" numFmtId="0" pivotButton="0" quotePrefix="0" xfId="3"/>
    <xf applyAlignment="1" borderId="0" fillId="0" fontId="27" numFmtId="0" pivotButton="0" quotePrefix="0" xfId="3">
      <alignment horizontal="right"/>
    </xf>
    <xf borderId="0" fillId="0" fontId="15" numFmtId="0" pivotButton="0" quotePrefix="0" xfId="3"/>
    <xf applyAlignment="1" borderId="0" fillId="0" fontId="15" numFmtId="0" pivotButton="0" quotePrefix="0" xfId="3">
      <alignment horizontal="centerContinuous"/>
    </xf>
    <xf borderId="0" fillId="0" fontId="33" numFmtId="0" pivotButton="0" quotePrefix="0" xfId="3"/>
    <xf borderId="18" fillId="0" fontId="34" numFmtId="0" pivotButton="0" quotePrefix="0" xfId="3"/>
    <xf borderId="19" fillId="0" fontId="34" numFmtId="2" pivotButton="0" quotePrefix="0" xfId="3"/>
    <xf borderId="20" fillId="0" fontId="34" numFmtId="0" pivotButton="0" quotePrefix="0" xfId="3"/>
    <xf borderId="0" fillId="0" fontId="34" numFmtId="0" pivotButton="0" quotePrefix="0" xfId="3"/>
    <xf borderId="0" fillId="0" fontId="34" numFmtId="2" pivotButton="0" quotePrefix="0" xfId="3"/>
    <xf borderId="18" fillId="9" fontId="34" numFmtId="0" pivotButton="0" quotePrefix="0" xfId="3"/>
    <xf borderId="19" fillId="9" fontId="34" numFmtId="2" pivotButton="0" quotePrefix="0" xfId="3"/>
    <xf borderId="20" fillId="9" fontId="34" numFmtId="0" pivotButton="0" quotePrefix="0" xfId="3"/>
    <xf borderId="21" fillId="0" fontId="34" numFmtId="0" pivotButton="0" quotePrefix="0" xfId="3"/>
    <xf borderId="12" fillId="0" fontId="34" numFmtId="2" pivotButton="0" quotePrefix="0" xfId="3"/>
    <xf borderId="22" fillId="0" fontId="34" numFmtId="0" pivotButton="0" quotePrefix="0" xfId="3"/>
    <xf borderId="21" fillId="9" fontId="34" numFmtId="0" pivotButton="0" quotePrefix="0" xfId="3"/>
    <xf borderId="12" fillId="9" fontId="34" numFmtId="2" pivotButton="0" quotePrefix="0" xfId="3"/>
    <xf borderId="22" fillId="9" fontId="34" numFmtId="0" pivotButton="0" quotePrefix="0" xfId="3"/>
    <xf borderId="23" fillId="0" fontId="34" numFmtId="0" pivotButton="0" quotePrefix="0" xfId="3"/>
    <xf borderId="24" fillId="0" fontId="35" numFmtId="2" pivotButton="0" quotePrefix="0" xfId="3"/>
    <xf borderId="25" fillId="0" fontId="34" numFmtId="0" pivotButton="0" quotePrefix="0" xfId="3"/>
    <xf borderId="23" fillId="9" fontId="34" numFmtId="0" pivotButton="0" quotePrefix="0" xfId="3"/>
    <xf borderId="24" fillId="9" fontId="35" numFmtId="2" pivotButton="0" quotePrefix="0" xfId="3"/>
    <xf borderId="25" fillId="9" fontId="34" numFmtId="0" pivotButton="0" quotePrefix="0" xfId="3"/>
    <xf borderId="16" fillId="0" fontId="30" numFmtId="0" pivotButton="0" quotePrefix="0" xfId="3"/>
    <xf borderId="0" fillId="0" fontId="13" numFmtId="165" pivotButton="0" quotePrefix="0" xfId="3"/>
    <xf applyAlignment="1" borderId="13" fillId="0" fontId="36" numFmtId="0" pivotButton="0" quotePrefix="0" xfId="3">
      <alignment horizontal="centerContinuous" vertical="center"/>
    </xf>
    <xf applyAlignment="1" borderId="0" fillId="3" fontId="0" numFmtId="0" pivotButton="0" quotePrefix="0" xfId="0">
      <alignment horizontal="center" vertical="center"/>
    </xf>
    <xf borderId="0" fillId="13" fontId="13" numFmtId="0" pivotButton="0" quotePrefix="0" xfId="3"/>
    <xf borderId="0" fillId="0" fontId="37" numFmtId="0" pivotButton="0" quotePrefix="0" xfId="3"/>
    <xf borderId="0" fillId="0" fontId="38" numFmtId="0" pivotButton="0" quotePrefix="0" xfId="3"/>
    <xf borderId="26" fillId="9" fontId="34" numFmtId="0" pivotButton="0" quotePrefix="0" xfId="3"/>
    <xf borderId="27" fillId="9" fontId="34" numFmtId="2" pivotButton="0" quotePrefix="0" xfId="3"/>
    <xf borderId="28" fillId="9" fontId="34" numFmtId="0" pivotButton="0" quotePrefix="0" xfId="3"/>
    <xf borderId="27" fillId="0" fontId="34" numFmtId="2" pivotButton="0" quotePrefix="0" xfId="3"/>
    <xf borderId="28" fillId="0" fontId="34" numFmtId="0" pivotButton="0" quotePrefix="0" xfId="3"/>
    <xf applyAlignment="1" borderId="0" fillId="0" fontId="24" numFmtId="9" pivotButton="0" quotePrefix="0" xfId="4">
      <alignment horizontal="right"/>
    </xf>
    <xf applyAlignment="1" borderId="14" fillId="0" fontId="27" numFmtId="0" pivotButton="0" quotePrefix="0" xfId="3">
      <alignment horizontal="center"/>
    </xf>
    <xf applyAlignment="1" borderId="0" fillId="0" fontId="17" numFmtId="0" pivotButton="0" quotePrefix="0" xfId="3">
      <alignment horizontal="left"/>
    </xf>
    <xf applyAlignment="1" borderId="0" fillId="0" fontId="39" numFmtId="0" pivotButton="0" quotePrefix="0" xfId="3">
      <alignment horizontal="centerContinuous" vertical="center"/>
    </xf>
    <xf borderId="0" fillId="0" fontId="13" numFmtId="9" pivotButton="0" quotePrefix="0" xfId="2"/>
    <xf applyAlignment="1" borderId="0" fillId="0" fontId="24" numFmtId="0" pivotButton="0" quotePrefix="0" xfId="3">
      <alignment horizontal="left" vertical="center"/>
    </xf>
    <xf applyAlignment="1" borderId="0" fillId="13" fontId="15" numFmtId="0" pivotButton="0" quotePrefix="0" xfId="3">
      <alignment horizontal="right"/>
    </xf>
    <xf borderId="0" fillId="13" fontId="0" numFmtId="0" pivotButton="0" quotePrefix="0" xfId="0"/>
    <xf applyAlignment="1" borderId="0" fillId="0" fontId="1" numFmtId="0" pivotButton="0" quotePrefix="0" xfId="0">
      <alignment horizontal="center" vertical="center"/>
    </xf>
    <xf applyAlignment="1" borderId="0" fillId="0" fontId="0" numFmtId="2" pivotButton="0" quotePrefix="0" xfId="0">
      <alignment horizontal="left" vertical="center"/>
    </xf>
    <xf applyAlignment="1" borderId="0" fillId="0" fontId="0" numFmtId="2" pivotButton="0" quotePrefix="0" xfId="0">
      <alignment horizontal="center" vertical="center" wrapText="1"/>
    </xf>
    <xf applyAlignment="1" borderId="0" fillId="0" fontId="0" numFmtId="2" pivotButton="0" quotePrefix="0" xfId="0">
      <alignment horizontal="center" vertical="top" wrapText="1"/>
    </xf>
    <xf applyAlignment="1" borderId="0" fillId="0" fontId="0" numFmtId="164" pivotButton="0" quotePrefix="0" xfId="0">
      <alignment horizontal="center" vertical="center"/>
    </xf>
    <xf applyAlignment="1" borderId="0" fillId="0" fontId="1" numFmtId="0" pivotButton="0" quotePrefix="0" xfId="0">
      <alignment horizontal="center" vertical="center" wrapText="1"/>
    </xf>
    <xf borderId="0" fillId="0" fontId="40" numFmtId="0" pivotButton="0" quotePrefix="0" xfId="0"/>
    <xf applyAlignment="1" borderId="0" fillId="0" fontId="13" numFmtId="0" pivotButton="0" quotePrefix="0" xfId="3">
      <alignment horizontal="right" vertical="center"/>
    </xf>
    <xf applyAlignment="1" borderId="0" fillId="0" fontId="41" numFmtId="0" pivotButton="0" quotePrefix="0" xfId="0">
      <alignment horizontal="center" vertical="center"/>
    </xf>
    <xf applyAlignment="1" borderId="0" fillId="0" fontId="41" numFmtId="2" pivotButton="0" quotePrefix="0" xfId="0">
      <alignment horizontal="center" vertical="center"/>
    </xf>
    <xf borderId="0" fillId="0" fontId="0" numFmtId="10" pivotButton="0" quotePrefix="0" xfId="0"/>
    <xf borderId="0" fillId="0" fontId="10" numFmtId="0" pivotButton="0" quotePrefix="0" xfId="0"/>
    <xf borderId="0" fillId="0" fontId="45" numFmtId="0" pivotButton="0" quotePrefix="0" xfId="0"/>
    <xf applyAlignment="1" borderId="0" fillId="0" fontId="45" numFmtId="0" pivotButton="0" quotePrefix="0" xfId="0">
      <alignment horizontal="left"/>
    </xf>
    <xf applyAlignment="1" borderId="0" fillId="0" fontId="10" numFmtId="0" pivotButton="0" quotePrefix="0" xfId="0">
      <alignment horizontal="left"/>
    </xf>
    <xf applyAlignment="1" borderId="0" fillId="0" fontId="10" numFmtId="0" pivotButton="0" quotePrefix="0" xfId="0">
      <alignment horizontal="right"/>
    </xf>
    <xf borderId="0" fillId="0" fontId="46" numFmtId="0" pivotButton="0" quotePrefix="0" xfId="0"/>
    <xf borderId="0" fillId="16" fontId="47" numFmtId="0" pivotButton="0" quotePrefix="0" xfId="1"/>
    <xf applyAlignment="1" borderId="0" fillId="0" fontId="45" numFmtId="0" pivotButton="0" quotePrefix="0" xfId="0">
      <alignment horizontal="right"/>
    </xf>
    <xf applyAlignment="1" borderId="0" fillId="0" fontId="45" numFmtId="0" pivotButton="0" quotePrefix="0" xfId="0">
      <alignment horizontal="center" vertical="top"/>
    </xf>
    <xf applyAlignment="1" borderId="0" fillId="0" fontId="10" numFmtId="0" pivotButton="0" quotePrefix="0" xfId="0">
      <alignment vertical="top"/>
    </xf>
    <xf applyAlignment="1" borderId="0" fillId="0" fontId="10" numFmtId="0" pivotButton="0" quotePrefix="0" xfId="0">
      <alignment vertical="top" wrapText="1"/>
    </xf>
    <xf applyAlignment="1" borderId="0" fillId="0" fontId="13" numFmtId="0" pivotButton="0" quotePrefix="0" xfId="3">
      <alignment vertical="center" wrapText="1"/>
    </xf>
    <xf applyAlignment="1" borderId="0" fillId="0" fontId="10" numFmtId="0" pivotButton="0" quotePrefix="0" xfId="0">
      <alignment horizontal="left" vertical="top"/>
    </xf>
    <xf applyAlignment="1" borderId="0" fillId="0" fontId="10" numFmtId="0" pivotButton="0" quotePrefix="0" xfId="0">
      <alignment horizontal="left" vertical="top" wrapText="1"/>
    </xf>
    <xf applyAlignment="1" borderId="0" fillId="0" fontId="1" numFmtId="0" pivotButton="0" quotePrefix="0" xfId="0">
      <alignment horizontal="center"/>
    </xf>
    <xf applyAlignment="1" borderId="0" fillId="0" fontId="9" numFmtId="0" pivotButton="0" quotePrefix="0" xfId="0">
      <alignment horizontal="center" vertical="center" wrapText="1"/>
    </xf>
    <xf borderId="0" fillId="18" fontId="0" numFmtId="0" pivotButton="0" quotePrefix="0" xfId="0"/>
    <xf applyAlignment="1" borderId="34" fillId="18" fontId="53" numFmtId="0" pivotButton="0" quotePrefix="0" xfId="0">
      <alignment horizontal="center" vertical="center" wrapText="1"/>
    </xf>
    <xf applyAlignment="1" borderId="35" fillId="18" fontId="53" numFmtId="0" pivotButton="0" quotePrefix="0" xfId="0">
      <alignment horizontal="center" vertical="center" wrapText="1"/>
    </xf>
    <xf applyAlignment="1" borderId="37" fillId="18" fontId="54" numFmtId="0" pivotButton="0" quotePrefix="0" xfId="0">
      <alignment horizontal="left" vertical="center" wrapText="1"/>
    </xf>
    <xf applyAlignment="1" borderId="36" fillId="18" fontId="54" numFmtId="0" pivotButton="0" quotePrefix="0" xfId="0">
      <alignment horizontal="left" vertical="center" wrapText="1"/>
    </xf>
    <xf applyAlignment="1" borderId="34" fillId="18" fontId="54" numFmtId="0" pivotButton="0" quotePrefix="0" xfId="0">
      <alignment horizontal="left" vertical="center" wrapText="1"/>
    </xf>
    <xf applyAlignment="1" borderId="32" fillId="17" fontId="52" numFmtId="0" pivotButton="0" quotePrefix="0" xfId="0">
      <alignment vertical="center" wrapText="1"/>
    </xf>
    <xf applyAlignment="1" borderId="33" fillId="17" fontId="52" numFmtId="0" pivotButton="0" quotePrefix="0" xfId="0">
      <alignment vertical="center" wrapText="1"/>
    </xf>
    <xf applyAlignment="1" borderId="31" fillId="17" fontId="52" numFmtId="0" pivotButton="0" quotePrefix="0" xfId="0">
      <alignment horizontal="left" vertical="top" wrapText="1"/>
    </xf>
    <xf applyAlignment="1" borderId="34" fillId="0" fontId="53" numFmtId="0" pivotButton="0" quotePrefix="0" xfId="0">
      <alignment horizontal="center" vertical="center" wrapText="1"/>
    </xf>
    <xf applyAlignment="1" borderId="35" fillId="0" fontId="53" numFmtId="0" pivotButton="0" quotePrefix="0" xfId="0">
      <alignment horizontal="center" vertical="center" wrapText="1"/>
    </xf>
    <xf applyAlignment="1" borderId="35" fillId="0" fontId="54" numFmtId="0" pivotButton="0" quotePrefix="0" xfId="0">
      <alignment horizontal="right" vertical="center" wrapText="1"/>
    </xf>
    <xf applyAlignment="1" borderId="35" fillId="0" fontId="54" numFmtId="10" pivotButton="0" quotePrefix="0" xfId="0">
      <alignment horizontal="right" vertical="center" wrapText="1"/>
    </xf>
    <xf applyAlignment="1" borderId="35" fillId="6" fontId="54" numFmtId="0" pivotButton="0" quotePrefix="0" xfId="0">
      <alignment horizontal="right" vertical="center" wrapText="1"/>
    </xf>
    <xf applyAlignment="1" borderId="35" fillId="6" fontId="54" numFmtId="10" pivotButton="0" quotePrefix="0" xfId="0">
      <alignment horizontal="right" vertical="center" wrapText="1"/>
    </xf>
    <xf applyAlignment="1" borderId="35" fillId="6" fontId="55" numFmtId="0" pivotButton="0" quotePrefix="0" xfId="0">
      <alignment horizontal="right" vertical="center" wrapText="1"/>
    </xf>
    <xf applyAlignment="1" borderId="35" fillId="6" fontId="55" numFmtId="10" pivotButton="0" quotePrefix="0" xfId="0">
      <alignment horizontal="right" vertical="center" wrapText="1"/>
    </xf>
    <xf applyAlignment="1" borderId="34" fillId="0" fontId="54" numFmtId="0" pivotButton="0" quotePrefix="0" xfId="0">
      <alignment horizontal="left" vertical="center" wrapText="1"/>
    </xf>
    <xf applyAlignment="1" borderId="34" fillId="6" fontId="54" numFmtId="0" pivotButton="0" quotePrefix="0" xfId="0">
      <alignment horizontal="left" vertical="center" wrapText="1"/>
    </xf>
    <xf applyAlignment="1" borderId="34" fillId="20" fontId="53" numFmtId="0" pivotButton="0" quotePrefix="0" xfId="0">
      <alignment horizontal="left" vertical="center" wrapText="1"/>
    </xf>
    <xf applyAlignment="1" borderId="35" fillId="20" fontId="53" numFmtId="0" pivotButton="0" quotePrefix="0" xfId="0">
      <alignment horizontal="right" vertical="center" wrapText="1"/>
    </xf>
    <xf applyAlignment="1" borderId="0" fillId="18" fontId="54" numFmtId="0" pivotButton="0" quotePrefix="0" xfId="0">
      <alignment horizontal="left" vertical="center" wrapText="1"/>
    </xf>
    <xf applyAlignment="1" borderId="0" fillId="18" fontId="55" numFmtId="0" pivotButton="0" quotePrefix="0" xfId="0">
      <alignment horizontal="center" vertical="center" wrapText="1"/>
    </xf>
    <xf applyAlignment="1" borderId="0" fillId="18" fontId="55" numFmtId="0" pivotButton="0" quotePrefix="0" xfId="0">
      <alignment horizontal="right" vertical="center" wrapText="1"/>
    </xf>
    <xf applyAlignment="1" borderId="0" fillId="18" fontId="55" numFmtId="10" pivotButton="0" quotePrefix="0" xfId="0">
      <alignment horizontal="right" vertical="center" wrapText="1"/>
    </xf>
    <xf borderId="0" fillId="18" fontId="0" numFmtId="166" pivotButton="0" quotePrefix="0" xfId="2"/>
    <xf borderId="0" fillId="18" fontId="0" numFmtId="10" pivotButton="0" quotePrefix="0" xfId="2"/>
    <xf borderId="0" fillId="21" fontId="0" numFmtId="0" pivotButton="0" quotePrefix="0" xfId="0"/>
    <xf borderId="0" fillId="21" fontId="1" numFmtId="0" pivotButton="0" quotePrefix="0" xfId="0"/>
    <xf borderId="0" fillId="7" fontId="13" numFmtId="0" pivotButton="0" quotePrefix="0" xfId="3"/>
    <xf applyAlignment="1" borderId="0" fillId="0" fontId="57" numFmtId="0" pivotButton="0" quotePrefix="0" xfId="3">
      <alignment horizontal="centerContinuous"/>
    </xf>
    <xf applyAlignment="1" borderId="41" fillId="23" fontId="58" numFmtId="14" pivotButton="0" quotePrefix="0" xfId="3">
      <alignment horizontal="center" vertical="center" wrapText="1"/>
    </xf>
    <xf applyAlignment="1" borderId="43" fillId="0" fontId="59" numFmtId="0" pivotButton="0" quotePrefix="0" xfId="3">
      <alignment horizontal="center" vertical="center"/>
    </xf>
    <xf applyAlignment="1" borderId="45" fillId="0" fontId="59" numFmtId="0" pivotButton="0" quotePrefix="0" xfId="3">
      <alignment horizontal="center" vertical="center"/>
    </xf>
    <xf applyAlignment="1" borderId="46" fillId="0" fontId="59" numFmtId="0" pivotButton="0" quotePrefix="0" xfId="3">
      <alignment horizontal="center" vertical="center"/>
    </xf>
    <xf applyAlignment="1" borderId="47" fillId="0" fontId="59" numFmtId="1" pivotButton="0" quotePrefix="0" xfId="3">
      <alignment horizontal="center" vertical="center" wrapText="1"/>
    </xf>
    <xf applyAlignment="1" borderId="48" fillId="0" fontId="59" numFmtId="1" pivotButton="0" quotePrefix="0" xfId="3">
      <alignment horizontal="center" vertical="center" wrapText="1"/>
    </xf>
    <xf applyAlignment="1" borderId="51" fillId="0" fontId="59" numFmtId="0" pivotButton="0" quotePrefix="0" xfId="3">
      <alignment horizontal="center" vertical="center"/>
    </xf>
    <xf applyAlignment="1" borderId="52" fillId="0" fontId="59" numFmtId="0" pivotButton="0" quotePrefix="0" xfId="3">
      <alignment horizontal="center" vertical="center"/>
    </xf>
    <xf applyAlignment="1" borderId="53" fillId="0" fontId="59" numFmtId="0" pivotButton="0" quotePrefix="0" xfId="3">
      <alignment horizontal="center" vertical="center"/>
    </xf>
    <xf applyAlignment="1" borderId="54" fillId="0" fontId="59" numFmtId="0" pivotButton="0" quotePrefix="0" xfId="3">
      <alignment horizontal="center" vertical="center"/>
    </xf>
    <xf applyAlignment="1" borderId="55" fillId="0" fontId="59" numFmtId="0" pivotButton="0" quotePrefix="0" xfId="3">
      <alignment horizontal="center" vertical="center"/>
    </xf>
    <xf applyAlignment="1" borderId="56" fillId="0" fontId="59" numFmtId="0" pivotButton="0" quotePrefix="0" xfId="3">
      <alignment horizontal="center" vertical="center"/>
    </xf>
    <xf applyAlignment="1" borderId="58" fillId="0" fontId="59" numFmtId="0" pivotButton="0" quotePrefix="0" xfId="3">
      <alignment horizontal="center" vertical="center"/>
    </xf>
    <xf applyAlignment="1" borderId="59" fillId="0" fontId="59" numFmtId="0" pivotButton="0" quotePrefix="0" xfId="3">
      <alignment horizontal="center" vertical="center"/>
    </xf>
    <xf applyAlignment="1" borderId="60" fillId="0" fontId="59" numFmtId="0" pivotButton="0" quotePrefix="0" xfId="3">
      <alignment horizontal="center" vertical="center"/>
    </xf>
    <xf applyAlignment="1" borderId="61" fillId="0" fontId="59" numFmtId="0" pivotButton="0" quotePrefix="0" xfId="3">
      <alignment horizontal="center" vertical="center"/>
    </xf>
    <xf applyAlignment="1" borderId="62" fillId="0" fontId="59" numFmtId="0" pivotButton="0" quotePrefix="0" xfId="3">
      <alignment horizontal="center" vertical="center"/>
    </xf>
    <xf applyAlignment="1" borderId="64" fillId="0" fontId="59" numFmtId="0" pivotButton="0" quotePrefix="0" xfId="3">
      <alignment horizontal="center" vertical="center"/>
    </xf>
    <xf applyAlignment="1" borderId="65" fillId="0" fontId="59" numFmtId="0" pivotButton="0" quotePrefix="0" xfId="3">
      <alignment horizontal="center" vertical="center"/>
    </xf>
    <xf applyAlignment="1" borderId="67" fillId="0" fontId="59" numFmtId="0" pivotButton="0" quotePrefix="0" xfId="3">
      <alignment horizontal="center" vertical="center"/>
    </xf>
    <xf applyAlignment="1" borderId="68" fillId="0" fontId="59" numFmtId="0" pivotButton="0" quotePrefix="0" xfId="3">
      <alignment horizontal="center" vertical="center"/>
    </xf>
    <xf applyAlignment="1" borderId="67" fillId="7" fontId="59" numFmtId="0" pivotButton="0" quotePrefix="0" xfId="3">
      <alignment horizontal="center" vertical="center"/>
    </xf>
    <xf applyAlignment="1" borderId="69" fillId="0" fontId="59" numFmtId="0" pivotButton="0" quotePrefix="0" xfId="3">
      <alignment horizontal="center" vertical="center"/>
    </xf>
    <xf applyAlignment="1" borderId="58" fillId="7" fontId="59" numFmtId="0" pivotButton="0" quotePrefix="0" xfId="3">
      <alignment horizontal="center" vertical="center"/>
    </xf>
    <xf applyAlignment="1" borderId="71" fillId="0" fontId="59" numFmtId="0" pivotButton="0" quotePrefix="0" xfId="3">
      <alignment horizontal="center" vertical="center" wrapText="1"/>
    </xf>
    <xf applyAlignment="1" borderId="72" fillId="0" fontId="59" numFmtId="0" pivotButton="0" quotePrefix="0" xfId="3">
      <alignment horizontal="center" vertical="center"/>
    </xf>
    <xf applyAlignment="1" borderId="73" fillId="0" fontId="59" numFmtId="0" pivotButton="0" quotePrefix="0" xfId="3">
      <alignment horizontal="center" vertical="center"/>
    </xf>
    <xf applyAlignment="1" borderId="75" fillId="7" fontId="59" numFmtId="0" pivotButton="0" quotePrefix="0" xfId="3">
      <alignment horizontal="center" vertical="center"/>
    </xf>
    <xf applyAlignment="1" borderId="77" fillId="0" fontId="59" numFmtId="1" pivotButton="0" quotePrefix="0" xfId="3">
      <alignment horizontal="center" vertical="center" wrapText="1"/>
    </xf>
    <xf applyAlignment="1" borderId="78" fillId="0" fontId="59" numFmtId="1" pivotButton="0" quotePrefix="0" xfId="3">
      <alignment horizontal="center" vertical="center" wrapText="1"/>
    </xf>
    <xf applyAlignment="1" borderId="0" fillId="0" fontId="59" numFmtId="0" pivotButton="0" quotePrefix="0" xfId="3">
      <alignment horizontal="center" vertical="center"/>
    </xf>
    <xf applyAlignment="1" borderId="79" fillId="0" fontId="59" numFmtId="0" pivotButton="0" quotePrefix="0" xfId="3">
      <alignment horizontal="center" vertical="center"/>
    </xf>
    <xf applyAlignment="1" borderId="81" fillId="0" fontId="59" numFmtId="0" pivotButton="0" quotePrefix="0" xfId="3">
      <alignment horizontal="center"/>
    </xf>
    <xf applyAlignment="1" borderId="82" fillId="0" fontId="59" numFmtId="0" pivotButton="0" quotePrefix="0" xfId="3">
      <alignment horizontal="center" vertical="center"/>
    </xf>
    <xf applyAlignment="1" borderId="83" fillId="0" fontId="59" numFmtId="0" pivotButton="0" quotePrefix="0" xfId="3">
      <alignment horizontal="center" vertical="center"/>
    </xf>
    <xf applyAlignment="1" borderId="85" fillId="0" fontId="59" numFmtId="0" pivotButton="0" quotePrefix="0" xfId="3">
      <alignment horizontal="center" vertical="center"/>
    </xf>
    <xf applyAlignment="1" borderId="86" fillId="0" fontId="59" numFmtId="0" pivotButton="0" quotePrefix="0" xfId="3">
      <alignment horizontal="center" vertical="center"/>
    </xf>
    <xf applyAlignment="1" borderId="87" fillId="0" fontId="59" numFmtId="0" pivotButton="0" quotePrefix="0" xfId="3">
      <alignment horizontal="center"/>
    </xf>
    <xf applyAlignment="1" borderId="88" fillId="0" fontId="59" numFmtId="0" pivotButton="0" quotePrefix="0" xfId="3">
      <alignment horizontal="center" vertical="center"/>
    </xf>
    <xf applyAlignment="1" borderId="90" fillId="0" fontId="59" numFmtId="0" pivotButton="0" quotePrefix="0" xfId="3">
      <alignment horizontal="center" vertical="center"/>
    </xf>
    <xf applyAlignment="1" borderId="91" fillId="0" fontId="59" numFmtId="0" pivotButton="0" quotePrefix="0" xfId="3">
      <alignment horizontal="center"/>
    </xf>
    <xf applyAlignment="1" borderId="92" fillId="0" fontId="59" numFmtId="0" pivotButton="0" quotePrefix="0" xfId="3">
      <alignment horizontal="center" vertical="center"/>
    </xf>
    <xf applyAlignment="1" borderId="94" fillId="0" fontId="59" numFmtId="0" pivotButton="0" quotePrefix="0" xfId="3">
      <alignment horizontal="center" vertical="center"/>
    </xf>
    <xf applyAlignment="1" borderId="95" fillId="0" fontId="59" numFmtId="0" pivotButton="0" quotePrefix="0" xfId="3">
      <alignment horizontal="center" vertical="center"/>
    </xf>
    <xf applyAlignment="1" borderId="96" fillId="0" fontId="59" numFmtId="1" pivotButton="0" quotePrefix="0" xfId="3">
      <alignment horizontal="center" vertical="center" wrapText="1"/>
    </xf>
    <xf applyAlignment="1" borderId="98" fillId="0" fontId="59" numFmtId="0" pivotButton="0" quotePrefix="0" xfId="3">
      <alignment horizontal="center"/>
    </xf>
    <xf applyAlignment="1" borderId="99" fillId="0" fontId="59" numFmtId="0" pivotButton="0" quotePrefix="0" xfId="3">
      <alignment horizontal="center" vertical="center"/>
    </xf>
    <xf applyAlignment="1" borderId="100" fillId="0" fontId="59" numFmtId="0" pivotButton="0" quotePrefix="0" xfId="3">
      <alignment horizontal="center" vertical="center"/>
    </xf>
    <xf applyAlignment="1" borderId="102" fillId="7" fontId="59" numFmtId="0" pivotButton="0" quotePrefix="0" xfId="3">
      <alignment horizontal="center" vertical="center"/>
    </xf>
    <xf applyAlignment="1" borderId="103" fillId="0" fontId="59" numFmtId="0" pivotButton="0" quotePrefix="0" xfId="3">
      <alignment horizontal="center" vertical="center"/>
    </xf>
    <xf applyAlignment="1" borderId="108" fillId="0" fontId="59" numFmtId="1" pivotButton="0" quotePrefix="0" xfId="3">
      <alignment horizontal="center" vertical="center"/>
    </xf>
    <xf applyAlignment="1" borderId="109" fillId="0" fontId="59" numFmtId="1" pivotButton="0" quotePrefix="0" xfId="3">
      <alignment horizontal="center" vertical="center"/>
    </xf>
    <xf applyAlignment="1" borderId="110" fillId="0" fontId="59" numFmtId="0" pivotButton="0" quotePrefix="0" xfId="3">
      <alignment horizontal="center" vertical="center"/>
    </xf>
    <xf applyAlignment="1" borderId="111" fillId="0" fontId="59" numFmtId="0" pivotButton="0" quotePrefix="0" xfId="3">
      <alignment horizontal="center" vertical="center"/>
    </xf>
    <xf applyAlignment="1" borderId="112" fillId="0" fontId="59" numFmtId="0" pivotButton="0" quotePrefix="0" xfId="3">
      <alignment horizontal="center" vertical="center"/>
    </xf>
    <xf applyAlignment="1" borderId="114" fillId="0" fontId="59" numFmtId="0" pivotButton="0" quotePrefix="0" xfId="3">
      <alignment horizontal="center" vertical="center"/>
    </xf>
    <xf applyAlignment="1" borderId="115" fillId="0" fontId="59" numFmtId="0" pivotButton="0" quotePrefix="0" xfId="3">
      <alignment horizontal="center" vertical="center"/>
    </xf>
    <xf applyAlignment="1" borderId="116" fillId="0" fontId="59" numFmtId="0" pivotButton="0" quotePrefix="0" xfId="3">
      <alignment horizontal="center" vertical="center"/>
    </xf>
    <xf applyAlignment="1" borderId="117" fillId="0" fontId="59" numFmtId="0" pivotButton="0" quotePrefix="0" xfId="3">
      <alignment horizontal="center" vertical="center"/>
    </xf>
    <xf applyAlignment="1" borderId="118" fillId="0" fontId="59" numFmtId="0" pivotButton="0" quotePrefix="0" xfId="3">
      <alignment horizontal="center" vertical="center"/>
    </xf>
    <xf applyAlignment="1" borderId="120" fillId="0" fontId="59" numFmtId="0" pivotButton="0" quotePrefix="0" xfId="3">
      <alignment horizontal="center" vertical="center"/>
    </xf>
    <xf applyAlignment="1" borderId="121" fillId="0" fontId="59" numFmtId="0" pivotButton="0" quotePrefix="0" xfId="3">
      <alignment horizontal="center" vertical="center"/>
    </xf>
    <xf applyAlignment="1" borderId="122" fillId="0" fontId="59" numFmtId="0" pivotButton="0" quotePrefix="0" xfId="3">
      <alignment horizontal="center" vertical="center"/>
    </xf>
    <xf applyAlignment="1" borderId="124" fillId="0" fontId="59" numFmtId="0" pivotButton="0" quotePrefix="0" xfId="3">
      <alignment horizontal="center" vertical="center"/>
    </xf>
    <xf applyAlignment="1" borderId="125" fillId="0" fontId="59" numFmtId="0" pivotButton="0" quotePrefix="0" xfId="3">
      <alignment horizontal="center" vertical="center"/>
    </xf>
    <xf applyAlignment="1" borderId="126" fillId="0" fontId="59" numFmtId="0" pivotButton="0" quotePrefix="0" xfId="3">
      <alignment horizontal="center" vertical="center"/>
    </xf>
    <xf applyAlignment="1" borderId="127" fillId="0" fontId="59" numFmtId="0" pivotButton="0" quotePrefix="0" xfId="3">
      <alignment horizontal="center" vertical="center"/>
    </xf>
    <xf applyAlignment="1" borderId="129" fillId="0" fontId="59" numFmtId="0" pivotButton="0" quotePrefix="0" xfId="3">
      <alignment horizontal="center" vertical="center"/>
    </xf>
    <xf applyAlignment="1" borderId="130" fillId="0" fontId="59" numFmtId="0" pivotButton="0" quotePrefix="0" xfId="3">
      <alignment horizontal="center" vertical="center"/>
    </xf>
    <xf applyAlignment="1" borderId="132" fillId="0" fontId="59" numFmtId="0" pivotButton="0" quotePrefix="0" xfId="3">
      <alignment horizontal="center" vertical="center"/>
    </xf>
    <xf applyAlignment="1" borderId="133" fillId="0" fontId="59" numFmtId="0" pivotButton="0" quotePrefix="0" xfId="3">
      <alignment horizontal="center" vertical="center"/>
    </xf>
    <xf applyAlignment="1" borderId="134" fillId="0" fontId="59" numFmtId="0" pivotButton="0" quotePrefix="0" xfId="3">
      <alignment horizontal="center" vertical="center"/>
    </xf>
    <xf applyAlignment="1" borderId="137" fillId="0" fontId="59" numFmtId="0" pivotButton="0" quotePrefix="0" xfId="3">
      <alignment horizontal="center" vertical="center"/>
    </xf>
    <xf applyAlignment="1" borderId="138" fillId="0" fontId="59" numFmtId="0" pivotButton="0" quotePrefix="0" xfId="3">
      <alignment horizontal="center" vertical="center"/>
    </xf>
    <xf applyAlignment="1" borderId="139" fillId="0" fontId="59" numFmtId="0" pivotButton="0" quotePrefix="0" xfId="3">
      <alignment horizontal="center" vertical="center"/>
    </xf>
    <xf applyAlignment="1" borderId="141" fillId="0" fontId="59" numFmtId="0" pivotButton="0" quotePrefix="0" xfId="3">
      <alignment horizontal="center" vertical="center"/>
    </xf>
    <xf applyAlignment="1" borderId="142" fillId="0" fontId="59" numFmtId="0" pivotButton="0" quotePrefix="0" xfId="3">
      <alignment horizontal="center" vertical="center"/>
    </xf>
    <xf applyAlignment="1" borderId="143" fillId="0" fontId="59" numFmtId="0" pivotButton="0" quotePrefix="0" xfId="3">
      <alignment horizontal="center" vertical="center"/>
    </xf>
    <xf applyAlignment="1" borderId="144" fillId="0" fontId="59" numFmtId="0" pivotButton="0" quotePrefix="0" xfId="3">
      <alignment horizontal="center" vertical="center"/>
    </xf>
    <xf applyAlignment="1" borderId="145" fillId="0" fontId="59" numFmtId="0" pivotButton="0" quotePrefix="0" xfId="3">
      <alignment horizontal="center" vertical="center"/>
    </xf>
    <xf applyAlignment="1" borderId="147" fillId="0" fontId="59" numFmtId="0" pivotButton="0" quotePrefix="0" xfId="3">
      <alignment horizontal="center" vertical="center"/>
    </xf>
    <xf applyAlignment="1" borderId="148" fillId="0" fontId="59" numFmtId="0" pivotButton="0" quotePrefix="0" xfId="3">
      <alignment horizontal="center" vertical="center"/>
    </xf>
    <xf applyAlignment="1" borderId="149" fillId="0" fontId="59" numFmtId="0" pivotButton="0" quotePrefix="0" xfId="3">
      <alignment horizontal="center" vertical="center"/>
    </xf>
    <xf applyAlignment="1" borderId="150" fillId="0" fontId="59" numFmtId="0" pivotButton="0" quotePrefix="0" xfId="3">
      <alignment horizontal="center" vertical="center"/>
    </xf>
    <xf applyAlignment="1" borderId="151" fillId="0" fontId="59" numFmtId="0" pivotButton="0" quotePrefix="0" xfId="3">
      <alignment horizontal="center" vertical="center"/>
    </xf>
    <xf applyAlignment="1" borderId="153" fillId="0" fontId="59" numFmtId="0" pivotButton="0" quotePrefix="0" xfId="3">
      <alignment horizontal="center" vertical="center"/>
    </xf>
    <xf applyAlignment="1" borderId="154" fillId="0" fontId="59" numFmtId="0" pivotButton="0" quotePrefix="0" xfId="3">
      <alignment horizontal="center" vertical="center"/>
    </xf>
    <xf applyAlignment="1" borderId="155" fillId="0" fontId="59" numFmtId="0" pivotButton="0" quotePrefix="0" xfId="3">
      <alignment horizontal="center" vertical="center"/>
    </xf>
    <xf applyAlignment="1" borderId="156" fillId="0" fontId="59" numFmtId="0" pivotButton="0" quotePrefix="0" xfId="3">
      <alignment horizontal="center" vertical="center"/>
    </xf>
    <xf applyAlignment="1" borderId="158" fillId="0" fontId="59" numFmtId="0" pivotButton="0" quotePrefix="0" xfId="3">
      <alignment horizontal="center" vertical="center"/>
    </xf>
    <xf applyAlignment="1" borderId="159" fillId="0" fontId="59" numFmtId="0" pivotButton="0" quotePrefix="0" xfId="3">
      <alignment horizontal="center" vertical="center"/>
    </xf>
    <xf applyAlignment="1" borderId="160" fillId="0" fontId="59" numFmtId="0" pivotButton="0" quotePrefix="0" xfId="3">
      <alignment horizontal="center" vertical="center"/>
    </xf>
    <xf applyAlignment="1" borderId="161" fillId="0" fontId="59" numFmtId="0" pivotButton="0" quotePrefix="0" xfId="3">
      <alignment horizontal="center" vertical="center"/>
    </xf>
    <xf applyAlignment="1" borderId="162" fillId="0" fontId="59" numFmtId="0" pivotButton="0" quotePrefix="0" xfId="3">
      <alignment horizontal="center" vertical="center"/>
    </xf>
    <xf applyAlignment="1" borderId="163" fillId="0" fontId="59" numFmtId="0" pivotButton="0" quotePrefix="0" xfId="3">
      <alignment horizontal="center" vertical="center"/>
    </xf>
    <xf applyAlignment="1" borderId="164" fillId="0" fontId="59" numFmtId="0" pivotButton="0" quotePrefix="0" xfId="3">
      <alignment horizontal="center" vertical="center"/>
    </xf>
    <xf applyAlignment="1" borderId="165" fillId="0" fontId="59" numFmtId="0" pivotButton="0" quotePrefix="0" xfId="3">
      <alignment horizontal="center" vertical="center"/>
    </xf>
    <xf applyAlignment="1" borderId="166" fillId="0" fontId="59" numFmtId="0" pivotButton="0" quotePrefix="0" xfId="3">
      <alignment horizontal="center" vertical="center"/>
    </xf>
    <xf applyAlignment="1" borderId="168" fillId="7" fontId="59" numFmtId="0" pivotButton="0" quotePrefix="0" xfId="3">
      <alignment horizontal="center" vertical="center"/>
    </xf>
    <xf applyAlignment="1" borderId="117" fillId="7" fontId="59" numFmtId="0" pivotButton="0" quotePrefix="0" xfId="3">
      <alignment horizontal="center" vertical="center"/>
    </xf>
    <xf applyAlignment="1" borderId="169" fillId="0" fontId="59" numFmtId="0" pivotButton="0" quotePrefix="0" xfId="3">
      <alignment horizontal="center" vertical="center"/>
    </xf>
    <xf applyAlignment="1" borderId="170" fillId="0" fontId="59" numFmtId="0" pivotButton="0" quotePrefix="0" xfId="3">
      <alignment horizontal="center" vertical="center"/>
    </xf>
    <xf applyAlignment="1" borderId="171" fillId="0" fontId="59" numFmtId="0" pivotButton="0" quotePrefix="0" xfId="3">
      <alignment horizontal="center" vertical="center"/>
    </xf>
    <xf applyAlignment="1" borderId="173" fillId="0" fontId="59" numFmtId="0" pivotButton="0" quotePrefix="0" xfId="3">
      <alignment horizontal="center" vertical="center"/>
    </xf>
    <xf applyAlignment="1" borderId="174" fillId="0" fontId="59" numFmtId="0" pivotButton="0" quotePrefix="0" xfId="3">
      <alignment horizontal="center" vertical="center"/>
    </xf>
    <xf applyAlignment="1" borderId="175" fillId="0" fontId="59" numFmtId="0" pivotButton="0" quotePrefix="0" xfId="3">
      <alignment horizontal="center" vertical="center"/>
    </xf>
    <xf applyAlignment="1" borderId="76" fillId="0" fontId="59" numFmtId="0" pivotButton="0" quotePrefix="0" xfId="3">
      <alignment horizontal="center" vertical="center"/>
    </xf>
    <xf applyAlignment="1" borderId="178" fillId="0" fontId="59" numFmtId="0" pivotButton="0" quotePrefix="0" xfId="3">
      <alignment horizontal="center" vertical="center"/>
    </xf>
    <xf applyAlignment="1" borderId="151" fillId="0" fontId="59" numFmtId="0" pivotButton="0" quotePrefix="0" xfId="3">
      <alignment horizontal="center"/>
    </xf>
    <xf applyAlignment="1" borderId="156" fillId="0" fontId="59" numFmtId="0" pivotButton="0" quotePrefix="0" xfId="3">
      <alignment horizontal="center"/>
    </xf>
    <xf applyAlignment="1" borderId="179" fillId="0" fontId="59" numFmtId="0" pivotButton="0" quotePrefix="0" xfId="3">
      <alignment horizontal="center" vertical="center"/>
    </xf>
    <xf applyAlignment="1" borderId="180" fillId="0" fontId="59" numFmtId="0" pivotButton="0" quotePrefix="0" xfId="3">
      <alignment horizontal="center" vertical="center"/>
    </xf>
    <xf applyAlignment="1" borderId="181" fillId="0" fontId="59" numFmtId="0" pivotButton="0" quotePrefix="0" xfId="3">
      <alignment horizontal="center" vertical="center"/>
    </xf>
    <xf applyAlignment="1" borderId="182" fillId="0" fontId="59" numFmtId="0" pivotButton="0" quotePrefix="0" xfId="3">
      <alignment horizontal="center" vertical="center"/>
    </xf>
    <xf applyAlignment="1" borderId="183" fillId="0" fontId="59" numFmtId="0" pivotButton="0" quotePrefix="0" xfId="3">
      <alignment horizontal="center" vertical="center"/>
    </xf>
    <xf applyAlignment="1" borderId="184" fillId="0" fontId="59" numFmtId="0" pivotButton="0" quotePrefix="0" xfId="3">
      <alignment horizontal="center" vertical="center"/>
    </xf>
    <xf applyAlignment="1" borderId="185" fillId="0" fontId="59" numFmtId="0" pivotButton="0" quotePrefix="0" xfId="3">
      <alignment horizontal="center" vertical="center"/>
    </xf>
    <xf applyAlignment="1" borderId="186" fillId="0" fontId="59" numFmtId="0" pivotButton="0" quotePrefix="0" xfId="3">
      <alignment horizontal="center" vertical="center"/>
    </xf>
    <xf applyAlignment="1" borderId="187" fillId="0" fontId="59" numFmtId="0" pivotButton="0" quotePrefix="0" xfId="3">
      <alignment horizontal="center" vertical="center"/>
    </xf>
    <xf applyAlignment="1" borderId="189" fillId="0" fontId="59" numFmtId="0" pivotButton="0" quotePrefix="0" xfId="3">
      <alignment horizontal="center" vertical="center"/>
    </xf>
    <xf applyAlignment="1" borderId="190" fillId="0" fontId="59" numFmtId="0" pivotButton="0" quotePrefix="0" xfId="3">
      <alignment horizontal="center" vertical="center"/>
    </xf>
    <xf applyAlignment="1" borderId="191" fillId="0" fontId="59" numFmtId="0" pivotButton="0" quotePrefix="0" xfId="3">
      <alignment horizontal="center" vertical="center"/>
    </xf>
    <xf applyAlignment="1" borderId="193" fillId="0" fontId="59" numFmtId="0" pivotButton="0" quotePrefix="0" xfId="3">
      <alignment horizontal="center" vertical="center"/>
    </xf>
    <xf applyAlignment="1" borderId="194" fillId="0" fontId="13" numFmtId="0" pivotButton="0" quotePrefix="0" xfId="3">
      <alignment horizontal="center" textRotation="90" vertical="center"/>
    </xf>
    <xf applyAlignment="1" borderId="43" fillId="7" fontId="59" numFmtId="0" pivotButton="0" quotePrefix="0" xfId="3">
      <alignment horizontal="center" vertical="center"/>
    </xf>
    <xf applyAlignment="1" borderId="69" fillId="7" fontId="59" numFmtId="0" pivotButton="0" quotePrefix="0" xfId="3">
      <alignment horizontal="center" vertical="center"/>
    </xf>
    <xf applyAlignment="1" borderId="195" fillId="0" fontId="59" numFmtId="0" pivotButton="0" quotePrefix="0" xfId="3">
      <alignment horizontal="center" vertical="center"/>
    </xf>
    <xf applyAlignment="1" borderId="196" fillId="0" fontId="59" numFmtId="0" pivotButton="0" quotePrefix="0" xfId="3">
      <alignment horizontal="center" vertical="center"/>
    </xf>
    <xf applyAlignment="1" borderId="197" fillId="0" fontId="59" numFmtId="0" pivotButton="0" quotePrefix="0" xfId="3">
      <alignment horizontal="center" vertical="center"/>
    </xf>
    <xf applyAlignment="1" borderId="198" fillId="0" fontId="59" numFmtId="0" pivotButton="0" quotePrefix="0" xfId="3">
      <alignment horizontal="center" vertical="center"/>
    </xf>
    <xf applyAlignment="1" borderId="199" fillId="0" fontId="59" numFmtId="0" pivotButton="0" quotePrefix="0" xfId="3">
      <alignment horizontal="center" vertical="center"/>
    </xf>
    <xf applyAlignment="1" borderId="200" fillId="0" fontId="59" numFmtId="0" pivotButton="0" quotePrefix="0" xfId="3">
      <alignment horizontal="center" vertical="center"/>
    </xf>
    <xf applyAlignment="1" borderId="147" fillId="7" fontId="59" numFmtId="0" pivotButton="0" quotePrefix="0" xfId="3">
      <alignment horizontal="center" vertical="center"/>
    </xf>
    <xf applyAlignment="1" borderId="201" fillId="0" fontId="59" numFmtId="0" pivotButton="0" quotePrefix="0" xfId="3">
      <alignment horizontal="center" vertical="center"/>
    </xf>
    <xf applyAlignment="1" borderId="202" fillId="0" fontId="59" numFmtId="0" pivotButton="0" quotePrefix="0" xfId="3">
      <alignment horizontal="center" vertical="center"/>
    </xf>
    <xf applyAlignment="1" borderId="203" fillId="0" fontId="59" numFmtId="0" pivotButton="0" quotePrefix="0" xfId="3">
      <alignment horizontal="center" vertical="center"/>
    </xf>
    <xf applyAlignment="1" borderId="204" fillId="0" fontId="59" numFmtId="0" pivotButton="0" quotePrefix="0" xfId="3">
      <alignment horizontal="center" vertical="center"/>
    </xf>
    <xf applyAlignment="1" borderId="205" fillId="0" fontId="59" numFmtId="0" pivotButton="0" quotePrefix="0" xfId="3">
      <alignment horizontal="center" vertical="center"/>
    </xf>
    <xf applyAlignment="1" borderId="206" fillId="0" fontId="59" numFmtId="0" pivotButton="0" quotePrefix="0" xfId="3">
      <alignment horizontal="center" vertical="center"/>
    </xf>
    <xf applyAlignment="1" borderId="207" fillId="0" fontId="59" numFmtId="0" pivotButton="0" quotePrefix="0" xfId="3">
      <alignment horizontal="center" vertical="center"/>
    </xf>
    <xf applyAlignment="1" borderId="208" fillId="0" fontId="59" numFmtId="0" pivotButton="0" quotePrefix="0" xfId="3">
      <alignment horizontal="center" vertical="center"/>
    </xf>
    <xf applyAlignment="1" borderId="209" fillId="0" fontId="59" numFmtId="0" pivotButton="0" quotePrefix="0" xfId="3">
      <alignment horizontal="center" vertical="center"/>
    </xf>
    <xf applyAlignment="1" borderId="210" fillId="0" fontId="59" numFmtId="0" pivotButton="0" quotePrefix="0" xfId="3">
      <alignment horizontal="center" vertical="top"/>
    </xf>
    <xf applyAlignment="1" borderId="211" fillId="0" fontId="59" numFmtId="0" pivotButton="0" quotePrefix="0" xfId="3">
      <alignment horizontal="center" vertical="center"/>
    </xf>
    <xf applyAlignment="1" borderId="0" fillId="0" fontId="0" numFmtId="0" pivotButton="0" quotePrefix="0" xfId="0">
      <alignment horizontal="left"/>
    </xf>
    <xf applyAlignment="1" borderId="106" fillId="0" fontId="60" numFmtId="0" pivotButton="0" quotePrefix="0" xfId="3">
      <alignment horizontal="right"/>
    </xf>
    <xf applyAlignment="1" borderId="213" fillId="0" fontId="59" numFmtId="1" pivotButton="0" quotePrefix="0" xfId="3">
      <alignment horizontal="center" vertical="center"/>
    </xf>
    <xf borderId="0" fillId="0" fontId="13" numFmtId="1" pivotButton="0" quotePrefix="0" xfId="3"/>
    <xf borderId="0" fillId="0" fontId="0" numFmtId="0" pivotButton="0" quotePrefix="1" xfId="0"/>
    <xf applyAlignment="1" borderId="0" fillId="0" fontId="0" numFmtId="0" pivotButton="0" quotePrefix="0" xfId="0">
      <alignment horizontal="left" vertical="center"/>
    </xf>
    <xf applyAlignment="1" borderId="17" fillId="0" fontId="63" numFmtId="0" pivotButton="0" quotePrefix="0" xfId="0">
      <alignment horizontal="center" vertical="center"/>
    </xf>
    <xf applyAlignment="1" borderId="11" fillId="0" fontId="64" numFmtId="0" pivotButton="0" quotePrefix="0" xfId="0">
      <alignment horizontal="left" vertical="center"/>
    </xf>
    <xf applyAlignment="1" borderId="11" fillId="0" fontId="64" numFmtId="0" pivotButton="0" quotePrefix="0" xfId="0">
      <alignment vertical="center"/>
    </xf>
    <xf applyAlignment="1" borderId="0" fillId="0" fontId="64" numFmtId="0" pivotButton="0" quotePrefix="0" xfId="0">
      <alignment horizontal="left" vertical="center"/>
    </xf>
    <xf applyAlignment="1" borderId="0" fillId="0" fontId="63" numFmtId="2" pivotButton="0" quotePrefix="0" xfId="0">
      <alignment horizontal="center" vertical="center"/>
    </xf>
    <xf applyAlignment="1" borderId="0" fillId="0" fontId="65" numFmtId="0" pivotButton="0" quotePrefix="0" xfId="0">
      <alignment horizontal="left" indent="1" vertical="center"/>
    </xf>
    <xf applyAlignment="1" borderId="214" fillId="0" fontId="13" numFmtId="0" pivotButton="0" quotePrefix="0" xfId="3">
      <alignment horizontal="center" textRotation="90" vertical="center"/>
    </xf>
    <xf applyAlignment="1" borderId="0" fillId="0" fontId="0" numFmtId="0" pivotButton="0" quotePrefix="0" xfId="0">
      <alignment vertical="center"/>
    </xf>
    <xf applyAlignment="1" borderId="34" fillId="20" fontId="53" numFmtId="0" pivotButton="0" quotePrefix="0" xfId="0">
      <alignment horizontal="right" vertical="center" wrapText="1"/>
    </xf>
    <xf applyAlignment="1" borderId="34" fillId="0" fontId="54" numFmtId="0" pivotButton="0" quotePrefix="0" xfId="0">
      <alignment horizontal="center" vertical="center" wrapText="1"/>
    </xf>
    <xf applyAlignment="1" borderId="34" fillId="6" fontId="54" numFmtId="0" pivotButton="0" quotePrefix="0" xfId="0">
      <alignment horizontal="center" vertical="center" wrapText="1"/>
    </xf>
    <xf applyAlignment="1" borderId="34" fillId="6" fontId="55" numFmtId="0" pivotButton="0" quotePrefix="0" xfId="0">
      <alignment horizontal="center" vertical="center" wrapText="1"/>
    </xf>
    <xf applyAlignment="1" borderId="34" fillId="0" fontId="54" numFmtId="0" pivotButton="0" quotePrefix="0" xfId="0">
      <alignment horizontal="right" vertical="center" wrapText="1"/>
    </xf>
    <xf applyAlignment="1" borderId="34" fillId="6" fontId="54" numFmtId="0" pivotButton="0" quotePrefix="0" xfId="0">
      <alignment horizontal="right" vertical="center" wrapText="1"/>
    </xf>
    <xf borderId="0" fillId="18" fontId="0" numFmtId="2" pivotButton="0" quotePrefix="0" xfId="0"/>
    <xf borderId="0" fillId="0" fontId="10" numFmtId="2" pivotButton="0" quotePrefix="0" xfId="0"/>
    <xf applyAlignment="1" borderId="0" fillId="0" fontId="0" numFmtId="0" pivotButton="0" quotePrefix="0" xfId="0">
      <alignment horizontal="left" indent="1" vertical="center"/>
    </xf>
    <xf applyAlignment="1" borderId="31" fillId="17" fontId="52" numFmtId="0" pivotButton="0" quotePrefix="0" xfId="0">
      <alignment horizontal="left" vertical="center" wrapText="1"/>
    </xf>
    <xf applyAlignment="1" borderId="32" fillId="17" fontId="52" numFmtId="0" pivotButton="0" quotePrefix="0" xfId="0">
      <alignment horizontal="left" vertical="center" wrapText="1"/>
    </xf>
    <xf applyAlignment="1" borderId="33" fillId="17" fontId="52" numFmtId="0" pivotButton="0" quotePrefix="0" xfId="0">
      <alignment horizontal="left" vertical="center" wrapText="1"/>
    </xf>
    <xf borderId="0" fillId="7" fontId="0" numFmtId="166" pivotButton="0" quotePrefix="0" xfId="2"/>
    <xf borderId="0" fillId="7" fontId="0" numFmtId="0" pivotButton="0" quotePrefix="0" xfId="0"/>
    <xf borderId="215" fillId="18" fontId="0" numFmtId="0" pivotButton="0" quotePrefix="0" xfId="0"/>
    <xf borderId="0" fillId="0" fontId="68" numFmtId="0" pivotButton="0" quotePrefix="0" xfId="0"/>
    <xf applyAlignment="1" borderId="0" fillId="7" fontId="69" numFmtId="10" pivotButton="0" quotePrefix="0" xfId="2">
      <alignment horizontal="center" vertical="center"/>
    </xf>
    <xf borderId="0" fillId="8" fontId="0" numFmtId="0" pivotButton="0" quotePrefix="0" xfId="0"/>
    <xf applyAlignment="1" borderId="0" fillId="8" fontId="54" numFmtId="0" pivotButton="0" quotePrefix="0" xfId="0">
      <alignment horizontal="left" vertical="center" wrapText="1"/>
    </xf>
    <xf applyAlignment="1" borderId="0" fillId="8" fontId="55" numFmtId="0" pivotButton="0" quotePrefix="0" xfId="0">
      <alignment horizontal="center" vertical="center" wrapText="1"/>
    </xf>
    <xf applyAlignment="1" borderId="0" fillId="8" fontId="55" numFmtId="0" pivotButton="0" quotePrefix="0" xfId="0">
      <alignment horizontal="right" vertical="center" wrapText="1"/>
    </xf>
    <xf applyAlignment="1" borderId="0" fillId="8" fontId="55" numFmtId="10" pivotButton="0" quotePrefix="0" xfId="0">
      <alignment horizontal="right" vertical="center" wrapText="1"/>
    </xf>
    <xf applyAlignment="1" borderId="0" fillId="0" fontId="43" numFmtId="2" pivotButton="0" quotePrefix="0" xfId="0">
      <alignment horizontal="center" vertical="center"/>
    </xf>
    <xf applyAlignment="1" borderId="0" fillId="0" fontId="42" numFmtId="10" pivotButton="0" quotePrefix="0" xfId="2">
      <alignment horizontal="center" vertical="center"/>
    </xf>
    <xf borderId="0" fillId="0" fontId="70" numFmtId="2" pivotButton="0" quotePrefix="0" xfId="3"/>
    <xf applyAlignment="1" borderId="0" fillId="18" fontId="0" numFmtId="0" pivotButton="0" quotePrefix="0" xfId="0">
      <alignment horizontal="right"/>
    </xf>
    <xf applyAlignment="1" borderId="216" fillId="14" fontId="45" numFmtId="0" pivotButton="0" quotePrefix="0" xfId="0">
      <alignment horizontal="center" vertical="center" wrapText="1"/>
    </xf>
    <xf applyAlignment="1" borderId="216" fillId="0" fontId="10" numFmtId="0" pivotButton="0" quotePrefix="0" xfId="0">
      <alignment horizontal="center" vertical="center" wrapText="1"/>
    </xf>
    <xf applyAlignment="1" borderId="216" fillId="0" fontId="10" numFmtId="0" pivotButton="0" quotePrefix="0" xfId="0">
      <alignment horizontal="center" vertical="center"/>
    </xf>
    <xf applyAlignment="1" borderId="217" fillId="14" fontId="45" numFmtId="0" pivotButton="0" quotePrefix="0" xfId="0">
      <alignment horizontal="center" vertical="center" wrapText="1"/>
    </xf>
    <xf borderId="0" fillId="0" fontId="71" numFmtId="0" pivotButton="0" quotePrefix="0" xfId="0"/>
    <xf applyAlignment="1" borderId="0" fillId="0" fontId="0" numFmtId="14" pivotButton="0" quotePrefix="0" xfId="0">
      <alignment horizontal="left" indent="1" vertical="center"/>
    </xf>
    <xf borderId="0" fillId="0" fontId="10" numFmtId="49" pivotButton="0" quotePrefix="0" xfId="0"/>
    <xf applyAlignment="1" borderId="0" fillId="0" fontId="10" numFmtId="49" pivotButton="0" quotePrefix="0" xfId="0">
      <alignment horizontal="left"/>
    </xf>
    <xf borderId="0" fillId="0" fontId="10" numFmtId="10" pivotButton="0" quotePrefix="0" xfId="0"/>
    <xf borderId="0" fillId="0" fontId="10" numFmtId="1" pivotButton="0" quotePrefix="0" xfId="0"/>
    <xf borderId="0" fillId="0" fontId="17" numFmtId="2" pivotButton="0" quotePrefix="0" xfId="3"/>
    <xf applyAlignment="1" borderId="216" fillId="18" fontId="0" numFmtId="0" pivotButton="0" quotePrefix="0" xfId="0">
      <alignment horizontal="center" vertical="center" wrapText="1"/>
    </xf>
    <xf applyAlignment="1" borderId="34" fillId="0" fontId="55" numFmtId="0" pivotButton="0" quotePrefix="0" xfId="0">
      <alignment horizontal="center" vertical="center"/>
    </xf>
    <xf applyAlignment="1" borderId="35" fillId="0" fontId="55" numFmtId="0" pivotButton="0" quotePrefix="0" xfId="0">
      <alignment horizontal="center" vertical="center"/>
    </xf>
    <xf applyAlignment="1" borderId="216" fillId="0" fontId="10" numFmtId="0" pivotButton="0" quotePrefix="0" xfId="2">
      <alignment horizontal="center" vertical="center"/>
    </xf>
    <xf applyAlignment="1" borderId="216" fillId="7" fontId="43" numFmtId="4" pivotButton="0" quotePrefix="0" xfId="0">
      <alignment horizontal="center" vertical="center"/>
    </xf>
    <xf applyAlignment="1" borderId="0" fillId="0" fontId="1" numFmtId="0" pivotButton="0" quotePrefix="0" xfId="0">
      <alignment horizontal="center" vertical="top"/>
    </xf>
    <xf applyAlignment="1" borderId="218" fillId="18" fontId="11" numFmtId="4" pivotButton="0" quotePrefix="0" xfId="0">
      <alignment horizontal="center" vertical="center" wrapText="1"/>
    </xf>
    <xf applyAlignment="1" borderId="0" fillId="3" fontId="0" numFmtId="2" pivotButton="0" quotePrefix="0" xfId="0">
      <alignment horizontal="center" vertical="center"/>
    </xf>
    <xf applyAlignment="1" borderId="35" fillId="0" fontId="54" numFmtId="0" pivotButton="0" quotePrefix="0" xfId="0">
      <alignment horizontal="center" vertical="center" wrapText="1"/>
    </xf>
    <xf applyAlignment="1" borderId="35" fillId="6" fontId="54" numFmtId="0" pivotButton="0" quotePrefix="0" xfId="0">
      <alignment horizontal="center" vertical="center" wrapText="1"/>
    </xf>
    <xf applyAlignment="1" borderId="35" fillId="6" fontId="55" numFmtId="0" pivotButton="0" quotePrefix="0" xfId="0">
      <alignment horizontal="center" vertical="center" wrapText="1"/>
    </xf>
    <xf applyAlignment="1" borderId="219" fillId="15" fontId="49" numFmtId="0" pivotButton="0" quotePrefix="0" xfId="0">
      <alignment horizontal="center"/>
    </xf>
    <xf applyAlignment="1" borderId="222" fillId="15" fontId="49" numFmtId="0" pivotButton="0" quotePrefix="0" xfId="0">
      <alignment horizontal="center"/>
    </xf>
    <xf applyAlignment="1" borderId="223" fillId="0" fontId="50" numFmtId="0" pivotButton="0" quotePrefix="0" xfId="0">
      <alignment horizontal="center" vertical="center" wrapText="1"/>
    </xf>
    <xf applyAlignment="1" borderId="223" fillId="7" fontId="50" numFmtId="0" pivotButton="0" quotePrefix="0" xfId="0">
      <alignment horizontal="center" vertical="center" wrapText="1"/>
    </xf>
    <xf applyAlignment="1" borderId="219" fillId="15" fontId="49" numFmtId="0" pivotButton="0" quotePrefix="0" xfId="0">
      <alignment horizontal="left"/>
    </xf>
    <xf applyAlignment="1" borderId="216" fillId="15" fontId="49" numFmtId="0" pivotButton="0" quotePrefix="0" xfId="0">
      <alignment horizontal="center"/>
    </xf>
    <xf applyAlignment="1" borderId="216" fillId="0" fontId="10" numFmtId="0" pivotButton="0" quotePrefix="0" xfId="0">
      <alignment horizontal="left"/>
    </xf>
    <xf applyAlignment="1" borderId="216" fillId="0" fontId="10" numFmtId="10" pivotButton="0" quotePrefix="0" xfId="2">
      <alignment horizontal="left"/>
    </xf>
    <xf applyAlignment="1" borderId="216" fillId="0" fontId="50" numFmtId="0" pivotButton="0" quotePrefix="0" xfId="0">
      <alignment horizontal="right" vertical="center" wrapText="1"/>
    </xf>
    <xf applyAlignment="1" borderId="218" fillId="7" fontId="43" numFmtId="4" pivotButton="0" quotePrefix="0" xfId="0">
      <alignment horizontal="center" vertical="center"/>
    </xf>
    <xf applyAlignment="1" borderId="216" fillId="7" fontId="42" numFmtId="10" pivotButton="0" quotePrefix="0" xfId="2">
      <alignment horizontal="center" vertical="center"/>
    </xf>
    <xf applyAlignment="1" borderId="216" fillId="14" fontId="20" numFmtId="0" pivotButton="0" quotePrefix="0" xfId="3">
      <alignment horizontal="center" vertical="center" wrapText="1"/>
    </xf>
    <xf applyAlignment="1" borderId="216" fillId="25" fontId="0" numFmtId="0" pivotButton="0" quotePrefix="0" xfId="0">
      <alignment horizontal="center" vertical="center"/>
    </xf>
    <xf applyAlignment="1" borderId="216" fillId="14" fontId="51" numFmtId="0" pivotButton="0" quotePrefix="0" xfId="3">
      <alignment horizontal="center" vertical="center" wrapText="1"/>
    </xf>
    <xf applyAlignment="1" borderId="216" fillId="12" fontId="22" numFmtId="0" pivotButton="0" quotePrefix="0" xfId="3">
      <alignment horizontal="center" vertical="center" wrapText="1"/>
    </xf>
    <xf applyAlignment="1" borderId="216" fillId="12" fontId="22" numFmtId="0" pivotButton="0" quotePrefix="0" xfId="3">
      <alignment horizontal="left" vertical="center" wrapText="1"/>
    </xf>
    <xf applyAlignment="1" borderId="216" fillId="0" fontId="13" numFmtId="3" pivotButton="0" quotePrefix="0" xfId="3">
      <alignment horizontal="center" vertical="center"/>
    </xf>
    <xf applyAlignment="1" borderId="216" fillId="0" fontId="13" numFmtId="164" pivotButton="0" quotePrefix="0" xfId="3">
      <alignment horizontal="center" vertical="center"/>
    </xf>
    <xf applyAlignment="1" borderId="216" fillId="0" fontId="13" numFmtId="166" pivotButton="0" quotePrefix="0" xfId="4">
      <alignment horizontal="center" vertical="center"/>
    </xf>
    <xf applyAlignment="1" borderId="216" fillId="0" fontId="17" numFmtId="3" pivotButton="0" quotePrefix="0" xfId="3">
      <alignment horizontal="center" vertical="center"/>
    </xf>
    <xf applyAlignment="1" borderId="216" fillId="0" fontId="20" numFmtId="0" pivotButton="0" quotePrefix="0" xfId="3">
      <alignment horizontal="center" vertical="center" wrapText="1"/>
    </xf>
    <xf applyAlignment="1" borderId="216" fillId="0" fontId="13" numFmtId="0" pivotButton="0" quotePrefix="0" xfId="3">
      <alignment horizontal="center" vertical="center"/>
    </xf>
    <xf applyAlignment="1" borderId="216" fillId="0" fontId="13" numFmtId="0" pivotButton="0" quotePrefix="0" xfId="3">
      <alignment vertical="center"/>
    </xf>
    <xf applyAlignment="1" borderId="216" fillId="0" fontId="13" numFmtId="0" pivotButton="0" quotePrefix="0" xfId="3">
      <alignment horizontal="right" vertical="center"/>
    </xf>
    <xf applyAlignment="1" borderId="216" fillId="10" fontId="21" numFmtId="0" pivotButton="0" quotePrefix="0" xfId="3">
      <alignment horizontal="center" vertical="center" wrapText="1"/>
    </xf>
    <xf applyAlignment="1" borderId="216" fillId="11" fontId="21" numFmtId="0" pivotButton="0" quotePrefix="0" xfId="3">
      <alignment horizontal="center" vertical="center" wrapText="1"/>
    </xf>
    <xf applyAlignment="1" borderId="216" fillId="0" fontId="13" numFmtId="2" pivotButton="0" quotePrefix="0" xfId="3">
      <alignment horizontal="center" vertical="center"/>
    </xf>
    <xf applyAlignment="1" borderId="216" fillId="0" fontId="13" numFmtId="166" pivotButton="0" quotePrefix="0" xfId="4">
      <alignment horizontal="center" vertical="center"/>
    </xf>
    <xf applyAlignment="1" borderId="216" fillId="0" fontId="13" numFmtId="166" pivotButton="0" quotePrefix="0" xfId="4">
      <alignment horizontal="center" vertical="center"/>
    </xf>
    <xf applyAlignment="1" borderId="216" fillId="0" fontId="13" numFmtId="4" pivotButton="0" quotePrefix="0" xfId="3">
      <alignment horizontal="center" vertical="center"/>
    </xf>
    <xf applyAlignment="1" borderId="216" fillId="18" fontId="1" numFmtId="0" pivotButton="0" quotePrefix="0" xfId="0">
      <alignment horizontal="center"/>
    </xf>
    <xf applyAlignment="1" borderId="216" fillId="3" fontId="66" numFmtId="0" pivotButton="0" quotePrefix="0" xfId="0">
      <alignment horizontal="right" vertical="center" wrapText="1"/>
    </xf>
    <xf applyAlignment="1" borderId="216" fillId="6" fontId="66" numFmtId="0" pivotButton="0" quotePrefix="0" xfId="0">
      <alignment horizontal="right" vertical="center" wrapText="1"/>
    </xf>
    <xf applyAlignment="1" borderId="216" fillId="22" fontId="10" numFmtId="0" pivotButton="0" quotePrefix="0" xfId="0">
      <alignment vertical="center"/>
    </xf>
    <xf applyAlignment="1" borderId="216" fillId="7" fontId="43" numFmtId="2" pivotButton="0" quotePrefix="0" xfId="0">
      <alignment horizontal="center" vertical="center"/>
    </xf>
    <xf applyAlignment="1" borderId="216" fillId="7" fontId="43" numFmtId="10" pivotButton="0" quotePrefix="0" xfId="2">
      <alignment horizontal="center" vertical="center"/>
    </xf>
    <xf applyAlignment="1" borderId="216" fillId="7" fontId="43" numFmtId="10" pivotButton="0" quotePrefix="0" xfId="2">
      <alignment horizontal="left" vertical="center" wrapText="1"/>
    </xf>
    <xf applyAlignment="1" borderId="216" fillId="8" fontId="9" numFmtId="0" pivotButton="0" quotePrefix="0" xfId="0">
      <alignment horizontal="center" vertical="center" wrapText="1"/>
    </xf>
    <xf applyAlignment="1" borderId="216" fillId="19" fontId="10" numFmtId="0" pivotButton="0" quotePrefix="0" xfId="0">
      <alignment vertical="center" wrapText="1"/>
    </xf>
    <xf applyAlignment="1" borderId="216" fillId="0" fontId="42" numFmtId="10" pivotButton="0" quotePrefix="0" xfId="2">
      <alignment horizontal="center" vertical="center"/>
    </xf>
    <xf applyAlignment="1" borderId="216" fillId="0" fontId="43" numFmtId="2" pivotButton="0" quotePrefix="0" xfId="0">
      <alignment horizontal="center" vertical="center"/>
    </xf>
    <xf applyAlignment="1" borderId="216" fillId="0" fontId="43" numFmtId="10" pivotButton="0" quotePrefix="0" xfId="2">
      <alignment horizontal="center" vertical="center"/>
    </xf>
    <xf applyAlignment="1" borderId="216" fillId="24" fontId="1" numFmtId="0" pivotButton="0" quotePrefix="0" xfId="0">
      <alignment horizontal="center" vertical="center" wrapText="1"/>
    </xf>
    <xf applyAlignment="1" borderId="216" fillId="24" fontId="1" numFmtId="0" pivotButton="0" quotePrefix="0" xfId="0">
      <alignment horizontal="center" vertical="center"/>
    </xf>
    <xf applyAlignment="1" borderId="216" fillId="0" fontId="0" numFmtId="0" pivotButton="0" quotePrefix="0" xfId="0">
      <alignment horizontal="center" vertical="center"/>
    </xf>
    <xf applyAlignment="1" borderId="216" fillId="0" fontId="0" numFmtId="0" pivotButton="0" quotePrefix="0" xfId="0">
      <alignment horizontal="left" vertical="center"/>
    </xf>
    <xf applyAlignment="1" borderId="216" fillId="0" fontId="0" numFmtId="2" pivotButton="0" quotePrefix="0" xfId="0">
      <alignment horizontal="center" vertical="center"/>
    </xf>
    <xf applyAlignment="1" borderId="216" fillId="0" fontId="0" numFmtId="167" pivotButton="0" quotePrefix="0" xfId="0">
      <alignment horizontal="center" vertical="center"/>
    </xf>
    <xf applyAlignment="1" borderId="216" fillId="24" fontId="1" numFmtId="0" pivotButton="0" quotePrefix="0" xfId="0">
      <alignment horizontal="left" vertical="center" wrapText="1"/>
    </xf>
    <xf applyAlignment="1" borderId="216" fillId="0" fontId="64" numFmtId="0" pivotButton="0" quotePrefix="0" xfId="0">
      <alignment horizontal="left" indent="1" vertical="center"/>
    </xf>
    <xf applyAlignment="1" borderId="216" fillId="0" fontId="63" numFmtId="10" pivotButton="0" quotePrefix="0" xfId="0">
      <alignment horizontal="center" vertical="center"/>
    </xf>
    <xf applyAlignment="1" borderId="216" fillId="24" fontId="1" numFmtId="0" pivotButton="0" quotePrefix="0" xfId="0">
      <alignment horizontal="left" indent="1" vertical="center" wrapText="1"/>
    </xf>
    <xf applyAlignment="1" borderId="216" fillId="24" fontId="1" numFmtId="10" pivotButton="0" quotePrefix="0" xfId="2">
      <alignment horizontal="center" vertical="center" wrapText="1"/>
    </xf>
    <xf applyAlignment="1" borderId="216" fillId="0" fontId="64" numFmtId="10" pivotButton="0" quotePrefix="0" xfId="0">
      <alignment horizontal="center" vertical="center"/>
    </xf>
    <xf applyAlignment="1" borderId="216" fillId="0" fontId="63" numFmtId="0" pivotButton="0" quotePrefix="0" xfId="0">
      <alignment horizontal="left" indent="2" vertical="center"/>
    </xf>
    <xf applyAlignment="1" borderId="216" fillId="0" fontId="63" numFmtId="0" pivotButton="0" quotePrefix="0" xfId="0">
      <alignment horizontal="center" vertical="center"/>
    </xf>
    <xf applyAlignment="1" borderId="217" fillId="0" fontId="64" numFmtId="0" pivotButton="0" quotePrefix="0" xfId="0">
      <alignment vertical="center"/>
    </xf>
    <xf applyAlignment="1" borderId="216" fillId="0" fontId="63" numFmtId="10" pivotButton="0" quotePrefix="0" xfId="2">
      <alignment horizontal="center" vertical="center"/>
    </xf>
    <xf applyAlignment="1" borderId="216" fillId="0" fontId="63" numFmtId="0" pivotButton="0" quotePrefix="0" xfId="0">
      <alignment horizontal="left" indent="1" vertical="center"/>
    </xf>
    <xf applyAlignment="1" borderId="216" fillId="0" fontId="64" numFmtId="0" pivotButton="0" quotePrefix="0" xfId="0">
      <alignment horizontal="left" vertical="center"/>
    </xf>
    <xf applyAlignment="1" borderId="217" fillId="0" fontId="64" numFmtId="0" pivotButton="0" quotePrefix="0" xfId="0">
      <alignment horizontal="left" vertical="center"/>
    </xf>
    <xf applyAlignment="1" borderId="216" fillId="24" fontId="1" numFmtId="0" pivotButton="0" quotePrefix="0" xfId="0">
      <alignment vertical="center" wrapText="1"/>
    </xf>
    <xf applyAlignment="1" borderId="216" fillId="7" fontId="0" numFmtId="167" pivotButton="0" quotePrefix="0" xfId="0">
      <alignment vertical="center" wrapText="1"/>
    </xf>
    <xf borderId="226" fillId="0" fontId="27" numFmtId="0" pivotButton="0" quotePrefix="0" xfId="3"/>
    <xf borderId="227" fillId="0" fontId="13" numFmtId="0" pivotButton="0" quotePrefix="0" xfId="3"/>
    <xf borderId="228" fillId="0" fontId="13" numFmtId="0" pivotButton="0" quotePrefix="0" xfId="3"/>
    <xf applyAlignment="1" borderId="0" fillId="0" fontId="13" numFmtId="2" pivotButton="0" quotePrefix="0" xfId="3">
      <alignment horizontal="right"/>
    </xf>
    <xf applyAlignment="1" borderId="215" fillId="0" fontId="13" numFmtId="4" pivotButton="0" quotePrefix="0" xfId="3">
      <alignment vertical="center"/>
    </xf>
    <xf applyAlignment="1" borderId="218" fillId="0" fontId="13" numFmtId="0" pivotButton="0" quotePrefix="0" xfId="3">
      <alignment vertical="center"/>
    </xf>
    <xf borderId="215" fillId="9" fontId="13" numFmtId="4" pivotButton="0" quotePrefix="0" xfId="3"/>
    <xf borderId="218" fillId="9" fontId="13" numFmtId="0" pivotButton="0" quotePrefix="0" xfId="3"/>
    <xf applyAlignment="1" borderId="215" fillId="12" fontId="13" numFmtId="4" pivotButton="0" quotePrefix="0" xfId="3">
      <alignment vertical="center"/>
    </xf>
    <xf applyAlignment="1" borderId="218" fillId="12" fontId="13" numFmtId="0" pivotButton="0" quotePrefix="0" xfId="3">
      <alignment vertical="center"/>
    </xf>
    <xf borderId="215" fillId="0" fontId="13" numFmtId="4" pivotButton="0" quotePrefix="0" xfId="3"/>
    <xf borderId="218" fillId="0" fontId="13" numFmtId="0" pivotButton="0" quotePrefix="0" xfId="3"/>
    <xf applyAlignment="1" borderId="215" fillId="0" fontId="24" numFmtId="4" pivotButton="0" quotePrefix="0" xfId="3">
      <alignment horizontal="right"/>
    </xf>
    <xf applyAlignment="1" borderId="215" fillId="0" fontId="24" numFmtId="4" pivotButton="0" quotePrefix="0" xfId="3">
      <alignment horizontal="center"/>
    </xf>
    <xf applyAlignment="1" borderId="0" fillId="0" fontId="13" numFmtId="0" pivotButton="0" quotePrefix="0" xfId="3">
      <alignment horizontal="left"/>
    </xf>
    <xf borderId="0" fillId="0" fontId="13" numFmtId="0" pivotButton="0" quotePrefix="1" xfId="3"/>
    <xf borderId="226" fillId="0" fontId="13" numFmtId="0" pivotButton="0" quotePrefix="0" xfId="3"/>
    <xf borderId="227" fillId="0" fontId="30" numFmtId="0" pivotButton="0" quotePrefix="0" xfId="3"/>
    <xf applyAlignment="1" borderId="215" fillId="0" fontId="15" numFmtId="0" pivotButton="0" quotePrefix="0" xfId="3">
      <alignment horizontal="centerContinuous"/>
    </xf>
    <xf applyAlignment="1" borderId="225" fillId="0" fontId="15" numFmtId="0" pivotButton="0" quotePrefix="0" xfId="3">
      <alignment horizontal="centerContinuous"/>
    </xf>
    <xf applyAlignment="1" borderId="218" fillId="0" fontId="15" numFmtId="0" pivotButton="0" quotePrefix="0" xfId="3">
      <alignment horizontal="centerContinuous"/>
    </xf>
    <xf applyAlignment="1" borderId="215" fillId="9" fontId="15" numFmtId="0" pivotButton="0" quotePrefix="0" xfId="3">
      <alignment horizontal="centerContinuous"/>
    </xf>
    <xf applyAlignment="1" borderId="225" fillId="9" fontId="15" numFmtId="0" pivotButton="0" quotePrefix="0" xfId="3">
      <alignment horizontal="centerContinuous"/>
    </xf>
    <xf applyAlignment="1" borderId="218" fillId="9" fontId="15" numFmtId="0" pivotButton="0" quotePrefix="0" xfId="3">
      <alignment horizontal="centerContinuous"/>
    </xf>
    <xf applyAlignment="1" borderId="215" fillId="3" fontId="17" numFmtId="4" pivotButton="0" quotePrefix="0" xfId="3">
      <alignment vertical="center"/>
    </xf>
    <xf borderId="215" fillId="3" fontId="17" numFmtId="4" pivotButton="0" quotePrefix="0" xfId="3"/>
    <xf applyAlignment="1" borderId="0" fillId="0" fontId="10" numFmtId="0" pivotButton="0" quotePrefix="0" xfId="0">
      <alignment horizontal="left" vertical="top" wrapText="1"/>
    </xf>
    <xf applyAlignment="1" borderId="216" fillId="18" fontId="0" numFmtId="0" pivotButton="0" quotePrefix="0" xfId="0">
      <alignment horizontal="center" vertical="center" wrapText="1"/>
    </xf>
    <xf applyAlignment="1" borderId="219" fillId="15" fontId="48" numFmtId="0" pivotButton="0" quotePrefix="0" xfId="0">
      <alignment horizontal="left"/>
    </xf>
    <xf applyAlignment="1" borderId="220" fillId="15" fontId="48" numFmtId="0" pivotButton="0" quotePrefix="0" xfId="0">
      <alignment horizontal="left"/>
    </xf>
    <xf applyAlignment="1" borderId="221" fillId="15" fontId="48" numFmtId="0" pivotButton="0" quotePrefix="0" xfId="0">
      <alignment horizontal="left"/>
    </xf>
    <xf applyAlignment="1" borderId="219" fillId="15" fontId="49" numFmtId="0" pivotButton="0" quotePrefix="0" xfId="0">
      <alignment horizontal="center"/>
    </xf>
    <xf applyAlignment="1" borderId="220" fillId="15" fontId="49" numFmtId="0" pivotButton="0" quotePrefix="0" xfId="0">
      <alignment horizontal="center"/>
    </xf>
    <xf applyAlignment="1" borderId="221" fillId="15" fontId="49" numFmtId="0" pivotButton="0" quotePrefix="0" xfId="0">
      <alignment horizontal="center"/>
    </xf>
    <xf applyAlignment="1" borderId="29" fillId="15" fontId="48" numFmtId="0" pivotButton="0" quotePrefix="0" xfId="0">
      <alignment horizontal="left"/>
    </xf>
    <xf applyAlignment="1" borderId="16" fillId="15" fontId="48" numFmtId="0" pivotButton="0" quotePrefix="0" xfId="0">
      <alignment horizontal="left"/>
    </xf>
    <xf applyAlignment="1" borderId="30" fillId="15" fontId="48" numFmtId="0" pivotButton="0" quotePrefix="0" xfId="0">
      <alignment horizontal="left"/>
    </xf>
    <xf applyAlignment="1" borderId="223" fillId="0" fontId="45" numFmtId="0" pivotButton="0" quotePrefix="0" xfId="0">
      <alignment horizontal="left"/>
    </xf>
    <xf applyAlignment="1" borderId="223" fillId="0" fontId="10" numFmtId="0" pivotButton="0" quotePrefix="0" xfId="0">
      <alignment horizontal="left"/>
    </xf>
    <xf applyAlignment="1" borderId="224" fillId="0" fontId="10" numFmtId="0" pivotButton="0" quotePrefix="0" xfId="0">
      <alignment horizontal="left"/>
    </xf>
    <xf applyAlignment="1" borderId="0" fillId="0" fontId="42" numFmtId="10" pivotButton="0" quotePrefix="0" xfId="2">
      <alignment horizontal="left" vertical="center"/>
    </xf>
    <xf applyAlignment="1" borderId="0" fillId="0" fontId="10" numFmtId="0" pivotButton="0" quotePrefix="0" xfId="0">
      <alignment horizontal="left" wrapText="1"/>
    </xf>
    <xf applyAlignment="1" borderId="0" fillId="0" fontId="10" numFmtId="49" pivotButton="0" quotePrefix="0" xfId="0">
      <alignment horizontal="left" vertical="top" wrapText="1"/>
    </xf>
    <xf applyAlignment="1" borderId="0" fillId="0" fontId="10" numFmtId="0" pivotButton="0" quotePrefix="0" xfId="0">
      <alignment horizontal="left" vertical="top"/>
    </xf>
    <xf applyAlignment="1" borderId="0" fillId="9" fontId="14" numFmtId="0" pivotButton="0" quotePrefix="0" xfId="3">
      <alignment horizontal="center" vertical="center"/>
    </xf>
    <xf applyAlignment="1" borderId="0" fillId="0" fontId="20" numFmtId="0" pivotButton="0" quotePrefix="0" xfId="3">
      <alignment horizontal="left" vertical="center" wrapText="1"/>
    </xf>
    <xf applyAlignment="1" borderId="215" fillId="0" fontId="13" numFmtId="0" pivotButton="0" quotePrefix="0" xfId="3">
      <alignment horizontal="left" vertical="top" wrapText="1"/>
    </xf>
    <xf applyAlignment="1" borderId="225" fillId="0" fontId="13" numFmtId="0" pivotButton="0" quotePrefix="0" xfId="3">
      <alignment horizontal="left" vertical="top" wrapText="1"/>
    </xf>
    <xf applyAlignment="1" borderId="218" fillId="0" fontId="13" numFmtId="0" pivotButton="0" quotePrefix="0" xfId="3">
      <alignment horizontal="left" vertical="top" wrapText="1"/>
    </xf>
    <xf applyAlignment="1" borderId="216" fillId="0" fontId="13" numFmtId="0" pivotButton="0" quotePrefix="0" xfId="3">
      <alignment horizontal="center" vertical="center"/>
    </xf>
    <xf applyAlignment="1" borderId="0" fillId="0" fontId="1" numFmtId="0" pivotButton="0" quotePrefix="0" xfId="0">
      <alignment horizontal="center"/>
    </xf>
    <xf applyAlignment="1" borderId="0" fillId="0" fontId="56" numFmtId="0" pivotButton="0" quotePrefix="0" xfId="0">
      <alignment horizontal="center" vertical="center"/>
    </xf>
    <xf applyAlignment="1" borderId="215" fillId="8" fontId="9" numFmtId="0" pivotButton="0" quotePrefix="0" xfId="0">
      <alignment horizontal="center" vertical="center" wrapText="1"/>
    </xf>
    <xf applyAlignment="1" borderId="218" fillId="8" fontId="9" numFmtId="0" pivotButton="0" quotePrefix="0" xfId="0">
      <alignment horizontal="center" vertical="center" wrapText="1"/>
    </xf>
    <xf applyAlignment="1" borderId="217" fillId="8" fontId="44" numFmtId="0" pivotButton="0" quotePrefix="0" xfId="0">
      <alignment horizontal="center" vertical="center" wrapText="1"/>
    </xf>
    <xf applyAlignment="1" borderId="11" fillId="8" fontId="44" numFmtId="0" pivotButton="0" quotePrefix="0" xfId="0">
      <alignment horizontal="center" vertical="center" wrapText="1"/>
    </xf>
    <xf applyAlignment="1" borderId="0" fillId="3" fontId="8" numFmtId="0" pivotButton="0" quotePrefix="0" xfId="0">
      <alignment horizontal="center" vertical="center"/>
    </xf>
    <xf applyAlignment="1" borderId="217" fillId="14" fontId="1" numFmtId="0" pivotButton="0" quotePrefix="0" xfId="0">
      <alignment horizontal="center" vertical="center" wrapText="1"/>
    </xf>
    <xf applyAlignment="1" borderId="11" fillId="14" fontId="1" numFmtId="0" pivotButton="0" quotePrefix="0" xfId="0">
      <alignment horizontal="center" vertical="center" wrapText="1"/>
    </xf>
    <xf applyAlignment="1" borderId="0" fillId="23" fontId="58" numFmtId="0" pivotButton="0" quotePrefix="0" xfId="3">
      <alignment horizontal="center"/>
    </xf>
    <xf applyAlignment="1" borderId="38" fillId="23" fontId="58" numFmtId="0" pivotButton="0" quotePrefix="0" xfId="3">
      <alignment horizontal="center" vertical="center" wrapText="1"/>
    </xf>
    <xf applyAlignment="1" borderId="40" fillId="23" fontId="58" numFmtId="0" pivotButton="0" quotePrefix="0" xfId="3">
      <alignment horizontal="center" vertical="center"/>
    </xf>
    <xf applyAlignment="1" borderId="39" fillId="23" fontId="58" numFmtId="0" pivotButton="0" quotePrefix="0" xfId="3">
      <alignment horizontal="center" vertical="center" wrapText="1"/>
    </xf>
    <xf applyAlignment="1" borderId="0" fillId="23" fontId="58" numFmtId="0" pivotButton="0" quotePrefix="0" xfId="3">
      <alignment horizontal="center" vertical="center" wrapText="1"/>
    </xf>
    <xf applyAlignment="1" borderId="42" fillId="0" fontId="13" numFmtId="0" pivotButton="0" quotePrefix="0" xfId="3">
      <alignment horizontal="center" textRotation="90" vertical="center"/>
    </xf>
    <xf applyAlignment="1" borderId="49" fillId="0" fontId="13" numFmtId="0" pivotButton="0" quotePrefix="0" xfId="3">
      <alignment horizontal="center" textRotation="90" vertical="center"/>
    </xf>
    <xf applyAlignment="1" borderId="97" fillId="0" fontId="13" numFmtId="0" pivotButton="0" quotePrefix="0" xfId="3">
      <alignment horizontal="center" textRotation="90" vertical="center"/>
    </xf>
    <xf applyAlignment="1" borderId="44" fillId="0" fontId="59" numFmtId="0" pivotButton="0" quotePrefix="0" xfId="3">
      <alignment horizontal="center" vertical="center" wrapText="1"/>
    </xf>
    <xf applyAlignment="1" borderId="50" fillId="0" fontId="59" numFmtId="0" pivotButton="0" quotePrefix="0" xfId="3">
      <alignment horizontal="center" vertical="center"/>
    </xf>
    <xf applyAlignment="1" borderId="57" fillId="0" fontId="59" numFmtId="0" pivotButton="0" quotePrefix="0" xfId="3">
      <alignment horizontal="center" vertical="center"/>
    </xf>
    <xf applyAlignment="1" borderId="63" fillId="0" fontId="59" numFmtId="0" pivotButton="0" quotePrefix="0" xfId="3">
      <alignment horizontal="center" vertical="center" wrapText="1"/>
    </xf>
    <xf applyAlignment="1" borderId="66" fillId="0" fontId="59" numFmtId="0" pivotButton="0" quotePrefix="0" xfId="3">
      <alignment horizontal="center" vertical="center"/>
    </xf>
    <xf applyAlignment="1" borderId="70" fillId="0" fontId="59" numFmtId="0" pivotButton="0" quotePrefix="0" xfId="3">
      <alignment horizontal="center" vertical="center"/>
    </xf>
    <xf applyAlignment="1" borderId="74" fillId="0" fontId="59" numFmtId="0" pivotButton="0" quotePrefix="0" xfId="3">
      <alignment horizontal="center" vertical="center" wrapText="1"/>
    </xf>
    <xf applyAlignment="1" borderId="76" fillId="0" fontId="59" numFmtId="0" pivotButton="0" quotePrefix="0" xfId="3">
      <alignment horizontal="center" vertical="center" wrapText="1"/>
    </xf>
    <xf applyAlignment="1" borderId="80" fillId="0" fontId="59" numFmtId="0" pivotButton="0" quotePrefix="0" xfId="3">
      <alignment horizontal="center" vertical="center" wrapText="1"/>
    </xf>
    <xf applyAlignment="1" borderId="84" fillId="0" fontId="59" numFmtId="0" pivotButton="0" quotePrefix="0" xfId="3">
      <alignment horizontal="center" vertical="center" wrapText="1"/>
    </xf>
    <xf applyAlignment="1" borderId="89" fillId="0" fontId="59" numFmtId="0" pivotButton="0" quotePrefix="0" xfId="3">
      <alignment horizontal="center" vertical="center"/>
    </xf>
    <xf applyAlignment="1" borderId="93" fillId="0" fontId="59" numFmtId="0" pivotButton="0" quotePrefix="0" xfId="3">
      <alignment horizontal="center" vertical="center"/>
    </xf>
    <xf applyAlignment="1" borderId="101" fillId="0" fontId="59" numFmtId="0" pivotButton="0" quotePrefix="0" xfId="3">
      <alignment horizontal="center" vertical="center"/>
    </xf>
    <xf applyAlignment="1" borderId="104" fillId="0" fontId="13" numFmtId="0" pivotButton="0" quotePrefix="0" xfId="3">
      <alignment horizontal="center" textRotation="90" vertical="center"/>
    </xf>
    <xf applyAlignment="1" borderId="113" fillId="0" fontId="59" numFmtId="0" pivotButton="0" quotePrefix="0" xfId="3">
      <alignment horizontal="center" vertical="center" wrapText="1"/>
    </xf>
    <xf applyAlignment="1" borderId="119" fillId="0" fontId="59" numFmtId="0" pivotButton="0" quotePrefix="0" xfId="3">
      <alignment horizontal="center" vertical="center"/>
    </xf>
    <xf applyAlignment="1" borderId="123" fillId="0" fontId="59" numFmtId="0" pivotButton="0" quotePrefix="0" xfId="3">
      <alignment horizontal="center" vertical="center"/>
    </xf>
    <xf applyAlignment="1" borderId="128" fillId="0" fontId="59" numFmtId="0" pivotButton="0" quotePrefix="0" xfId="3">
      <alignment horizontal="center" vertical="center" wrapText="1"/>
    </xf>
    <xf applyAlignment="1" borderId="131" fillId="0" fontId="59" numFmtId="0" pivotButton="0" quotePrefix="0" xfId="3">
      <alignment horizontal="center" vertical="center" wrapText="1"/>
    </xf>
    <xf applyAlignment="1" borderId="135" fillId="0" fontId="59" numFmtId="0" pivotButton="0" quotePrefix="0" xfId="3">
      <alignment horizontal="center" vertical="center" wrapText="1"/>
    </xf>
    <xf applyAlignment="1" borderId="136" fillId="0" fontId="59" numFmtId="0" pivotButton="0" quotePrefix="0" xfId="3">
      <alignment horizontal="center" vertical="center" wrapText="1"/>
    </xf>
    <xf applyAlignment="1" borderId="119" fillId="0" fontId="59" numFmtId="0" pivotButton="0" quotePrefix="0" xfId="3">
      <alignment horizontal="center" vertical="center" wrapText="1"/>
    </xf>
    <xf applyAlignment="1" borderId="140" fillId="0" fontId="59" numFmtId="0" pivotButton="0" quotePrefix="0" xfId="3">
      <alignment horizontal="center" vertical="center" wrapText="1"/>
    </xf>
    <xf applyAlignment="1" borderId="146" fillId="0" fontId="59" numFmtId="0" pivotButton="0" quotePrefix="0" xfId="3">
      <alignment horizontal="center" vertical="center"/>
    </xf>
    <xf applyAlignment="1" borderId="152" fillId="0" fontId="59" numFmtId="0" pivotButton="0" quotePrefix="0" xfId="3">
      <alignment horizontal="center" vertical="center"/>
    </xf>
    <xf applyAlignment="1" borderId="157" fillId="0" fontId="59" numFmtId="0" pivotButton="0" quotePrefix="0" xfId="3">
      <alignment horizontal="center" vertical="center"/>
    </xf>
    <xf applyAlignment="1" borderId="167" fillId="0" fontId="59" numFmtId="0" pivotButton="0" quotePrefix="0" xfId="3">
      <alignment horizontal="center" vertical="center"/>
    </xf>
    <xf applyAlignment="1" borderId="172" fillId="0" fontId="59" numFmtId="0" pivotButton="0" quotePrefix="0" xfId="3">
      <alignment horizontal="center" vertical="center"/>
    </xf>
    <xf applyAlignment="1" borderId="176" fillId="0" fontId="59" numFmtId="0" pivotButton="0" quotePrefix="0" xfId="3">
      <alignment horizontal="center" vertical="center" wrapText="1"/>
    </xf>
    <xf applyAlignment="1" borderId="177" fillId="0" fontId="59" numFmtId="0" pivotButton="0" quotePrefix="0" xfId="3">
      <alignment horizontal="center" vertical="center"/>
    </xf>
    <xf applyAlignment="1" borderId="146" fillId="0" fontId="59" numFmtId="0" pivotButton="0" quotePrefix="0" xfId="3">
      <alignment horizontal="center" vertical="center" wrapText="1"/>
    </xf>
    <xf applyAlignment="1" borderId="188" fillId="0" fontId="59" numFmtId="0" pivotButton="0" quotePrefix="0" xfId="3">
      <alignment horizontal="center" vertical="center" wrapText="1"/>
    </xf>
    <xf applyAlignment="1" borderId="131" fillId="0" fontId="59" numFmtId="0" pivotButton="0" quotePrefix="0" xfId="3">
      <alignment horizontal="center" vertical="center"/>
    </xf>
    <xf applyAlignment="1" borderId="192" fillId="0" fontId="59" numFmtId="0" pivotButton="0" quotePrefix="0" xfId="3">
      <alignment horizontal="center" vertical="center"/>
    </xf>
    <xf applyAlignment="1" borderId="105" fillId="0" fontId="60" numFmtId="0" pivotButton="0" quotePrefix="0" xfId="3">
      <alignment horizontal="center"/>
    </xf>
    <xf applyAlignment="1" borderId="106" fillId="0" fontId="60" numFmtId="0" pivotButton="0" quotePrefix="0" xfId="3">
      <alignment horizontal="center"/>
    </xf>
    <xf applyAlignment="1" borderId="107" fillId="0" fontId="60" numFmtId="0" pivotButton="0" quotePrefix="0" xfId="3">
      <alignment horizontal="center"/>
    </xf>
    <xf applyAlignment="1" borderId="105" fillId="0" fontId="60" numFmtId="0" pivotButton="0" quotePrefix="0" xfId="3">
      <alignment horizontal="right"/>
    </xf>
    <xf applyAlignment="1" borderId="106" fillId="0" fontId="60" numFmtId="0" pivotButton="0" quotePrefix="0" xfId="3">
      <alignment horizontal="right"/>
    </xf>
    <xf applyAlignment="1" borderId="212" fillId="0" fontId="60" numFmtId="0" pivotButton="0" quotePrefix="0" xfId="3">
      <alignment horizontal="right"/>
    </xf>
    <xf applyAlignment="1" borderId="76" fillId="0" fontId="59" numFmtId="0" pivotButton="0" quotePrefix="0" xfId="3">
      <alignment horizontal="center" vertical="center"/>
    </xf>
    <xf applyAlignment="1" borderId="80" fillId="0" fontId="59" numFmtId="0" pivotButton="0" quotePrefix="0" xfId="3">
      <alignment horizontal="center" vertical="center"/>
    </xf>
    <xf applyAlignment="1" borderId="216" fillId="24" fontId="1" numFmtId="0" pivotButton="0" quotePrefix="0" xfId="0">
      <alignment horizontal="center" vertical="center" wrapText="1"/>
    </xf>
    <xf applyAlignment="1" borderId="0" fillId="0" fontId="67" numFmtId="0" pivotButton="0" quotePrefix="0" xfId="0">
      <alignment horizontal="center" vertical="center" wrapText="1"/>
    </xf>
    <xf applyAlignment="1" borderId="215" fillId="24" fontId="1" numFmtId="0" pivotButton="0" quotePrefix="0" xfId="0">
      <alignment horizontal="center" vertical="center" wrapText="1"/>
    </xf>
    <xf applyAlignment="1" borderId="218" fillId="24" fontId="1" numFmtId="0" pivotButton="0" quotePrefix="0" xfId="0">
      <alignment horizontal="center" vertical="center" wrapText="1"/>
    </xf>
    <xf applyAlignment="1" borderId="216" fillId="0" fontId="1" numFmtId="0" pivotButton="0" quotePrefix="0" xfId="0">
      <alignment horizontal="center" vertical="center" wrapText="1"/>
    </xf>
    <xf applyAlignment="1" borderId="216" fillId="0" fontId="1" numFmtId="0" pivotButton="0" quotePrefix="0" xfId="0">
      <alignment horizontal="center" vertical="center"/>
    </xf>
    <xf applyAlignment="1" borderId="0" fillId="0" fontId="45" numFmtId="0" pivotButton="0" quotePrefix="0" xfId="0">
      <alignment horizontal="center" vertical="center"/>
    </xf>
    <xf applyAlignment="1" borderId="0" fillId="0" fontId="31" numFmtId="0" pivotButton="0" quotePrefix="0" xfId="3">
      <alignment horizontal="right"/>
    </xf>
    <xf applyAlignment="1" borderId="0" fillId="0" fontId="15" numFmtId="0" pivotButton="0" quotePrefix="0" xfId="3">
      <alignment horizontal="center"/>
    </xf>
    <xf borderId="6" fillId="2" fontId="4" numFmtId="49" pivotButton="0" quotePrefix="1" xfId="0"/>
    <xf borderId="0" fillId="0" fontId="4" numFmtId="49" pivotButton="0" quotePrefix="1" xfId="0"/>
    <xf borderId="6" fillId="0" fontId="4" numFmtId="49" pivotButton="0" quotePrefix="1" xfId="0"/>
    <xf borderId="6" fillId="2" fontId="4" numFmtId="2" pivotButton="0" quotePrefix="0" xfId="0"/>
    <xf borderId="3" fillId="0" fontId="4" numFmtId="49" pivotButton="0" quotePrefix="0" xfId="0"/>
    <xf borderId="7" fillId="0" fontId="4" numFmtId="49" pivotButton="0" quotePrefix="0" xfId="0"/>
    <xf borderId="4" fillId="0" fontId="4" numFmtId="49" pivotButton="0" quotePrefix="0" xfId="0"/>
    <xf borderId="8" fillId="0" fontId="4" numFmtId="49" pivotButton="0" quotePrefix="0" xfId="0"/>
    <xf borderId="6" fillId="6" fontId="4" numFmtId="49" pivotButton="0" quotePrefix="1" xfId="0"/>
    <xf borderId="6" fillId="6" fontId="4" numFmtId="2" pivotButton="0" quotePrefix="0" xfId="0"/>
    <xf borderId="6" fillId="5" fontId="6" numFmtId="49" pivotButton="0" quotePrefix="1" xfId="0"/>
    <xf borderId="4" fillId="0" fontId="4" numFmtId="49" pivotButton="0" quotePrefix="1" xfId="0"/>
    <xf applyAlignment="1" borderId="6" fillId="5" fontId="6" numFmtId="49" pivotButton="0" quotePrefix="1" xfId="0">
      <alignment horizontal="center"/>
    </xf>
    <xf applyAlignment="1" borderId="9" fillId="0" fontId="4" numFmtId="49" pivotButton="0" quotePrefix="1" xfId="0">
      <alignment horizontal="center"/>
    </xf>
    <xf borderId="5" fillId="0" fontId="4" numFmtId="49" pivotButton="0" quotePrefix="0" xfId="0"/>
    <xf borderId="2" fillId="0" fontId="4" numFmtId="49" pivotButton="0" quotePrefix="0" xfId="0"/>
    <xf borderId="1" fillId="0" fontId="4" numFmtId="49" pivotButton="0" quotePrefix="0" xfId="0"/>
    <xf borderId="7" fillId="0" fontId="4" numFmtId="49" pivotButton="0" quotePrefix="1" xfId="0"/>
    <xf borderId="5" fillId="5" fontId="4" numFmtId="49" pivotButton="0" quotePrefix="0" xfId="0"/>
    <xf borderId="5" fillId="0" fontId="4" numFmtId="49" pivotButton="0" quotePrefix="1" xfId="0"/>
    <xf borderId="2" fillId="0" fontId="4" numFmtId="49" pivotButton="0" quotePrefix="1" xfId="0"/>
    <xf applyAlignment="1" borderId="4" fillId="0" fontId="4" numFmtId="49" pivotButton="0" quotePrefix="1" xfId="0">
      <alignment horizontal="center"/>
    </xf>
    <xf applyAlignment="1" borderId="0" fillId="0" fontId="4" numFmtId="49" pivotButton="0" quotePrefix="1" xfId="0">
      <alignment horizontal="center"/>
    </xf>
    <xf borderId="6" fillId="2" fontId="7" numFmtId="49" pivotButton="0" quotePrefix="1" xfId="0"/>
    <xf borderId="6" fillId="0" fontId="4" numFmtId="49" pivotButton="0" quotePrefix="0" xfId="0"/>
    <xf borderId="0" fillId="0" fontId="4" numFmtId="49" pivotButton="0" quotePrefix="0" xfId="0"/>
    <xf borderId="3" fillId="0" fontId="4" numFmtId="49" pivotButton="0" quotePrefix="1" xfId="0"/>
    <xf borderId="6" fillId="0" fontId="7" numFmtId="49" pivotButton="0" quotePrefix="1" xfId="0"/>
    <xf borderId="3" fillId="0" fontId="7" numFmtId="49" pivotButton="0" quotePrefix="1" xfId="0"/>
    <xf borderId="0" fillId="0" fontId="5" numFmtId="49" pivotButton="0" quotePrefix="1" xfId="0"/>
    <xf borderId="1" fillId="5" fontId="4" numFmtId="49" pivotButton="0" quotePrefix="0" xfId="0"/>
    <xf borderId="3" fillId="5" fontId="6" numFmtId="49" pivotButton="0" quotePrefix="1" xfId="0"/>
    <xf applyAlignment="1" borderId="229" fillId="15" fontId="48" numFmtId="0" pivotButton="0" quotePrefix="0" xfId="0">
      <alignment horizontal="left"/>
    </xf>
    <xf borderId="220" fillId="0" fontId="0" numFmtId="0" pivotButton="0" quotePrefix="0" xfId="0"/>
    <xf borderId="221" fillId="0" fontId="0" numFmtId="0" pivotButton="0" quotePrefix="0" xfId="0"/>
    <xf applyAlignment="1" borderId="229" fillId="15" fontId="49" numFmtId="0" pivotButton="0" quotePrefix="0" xfId="0">
      <alignment horizontal="center"/>
    </xf>
    <xf applyAlignment="1" borderId="230" fillId="15" fontId="48" numFmtId="0" pivotButton="0" quotePrefix="0" xfId="0">
      <alignment horizontal="left"/>
    </xf>
    <xf borderId="16" fillId="0" fontId="0" numFmtId="0" pivotButton="0" quotePrefix="0" xfId="0"/>
    <xf borderId="30" fillId="0" fontId="0" numFmtId="0" pivotButton="0" quotePrefix="0" xfId="0"/>
    <xf borderId="225" fillId="0" fontId="0" numFmtId="0" pivotButton="0" quotePrefix="0" xfId="0"/>
    <xf borderId="232" fillId="0" fontId="0" numFmtId="0" pivotButton="0" quotePrefix="0" xfId="0"/>
    <xf borderId="235" fillId="0" fontId="0" numFmtId="0" pivotButton="0" quotePrefix="0" xfId="0"/>
    <xf applyAlignment="1" borderId="216" fillId="0" fontId="13" numFmtId="166" pivotButton="0" quotePrefix="0" xfId="4">
      <alignment horizontal="center" vertical="center"/>
    </xf>
    <xf borderId="238" fillId="0" fontId="0" numFmtId="0" pivotButton="0" quotePrefix="0" xfId="0"/>
    <xf borderId="218" fillId="0" fontId="0" numFmtId="0" pivotButton="0" quotePrefix="0" xfId="0"/>
    <xf applyAlignment="1" borderId="216" fillId="0" fontId="13" numFmtId="0" pivotButton="0" quotePrefix="0" xfId="3">
      <alignment horizontal="left" vertical="top" wrapText="1"/>
    </xf>
    <xf borderId="0" fillId="18" fontId="0" numFmtId="166" pivotButton="0" quotePrefix="0" xfId="2"/>
    <xf borderId="0" fillId="7" fontId="0" numFmtId="166" pivotButton="0" quotePrefix="0" xfId="2"/>
    <xf applyAlignment="1" borderId="223" fillId="14" fontId="1" numFmtId="0" pivotButton="0" quotePrefix="0" xfId="0">
      <alignment horizontal="center" vertical="center" wrapText="1"/>
    </xf>
    <xf borderId="11" fillId="0" fontId="0" numFmtId="0" pivotButton="0" quotePrefix="0" xfId="0"/>
    <xf applyAlignment="1" borderId="223" fillId="8" fontId="44" numFmtId="0" pivotButton="0" quotePrefix="0" xfId="0">
      <alignment horizontal="center" vertical="center" wrapText="1"/>
    </xf>
    <xf borderId="40" fillId="0" fontId="0" numFmtId="0" pivotButton="0" quotePrefix="0" xfId="0"/>
    <xf borderId="49" fillId="0" fontId="0" numFmtId="0" pivotButton="0" quotePrefix="0" xfId="0"/>
    <xf borderId="248" fillId="0" fontId="0" numFmtId="0" pivotButton="0" quotePrefix="0" xfId="0"/>
    <xf borderId="249" fillId="0" fontId="0" numFmtId="0" pivotButton="0" quotePrefix="0" xfId="0"/>
    <xf borderId="131" fillId="0" fontId="0" numFmtId="0" pivotButton="0" quotePrefix="0" xfId="0"/>
    <xf borderId="63" fillId="0" fontId="0" numFmtId="0" pivotButton="0" quotePrefix="0" xfId="0"/>
    <xf applyAlignment="1" borderId="250" fillId="0" fontId="59" numFmtId="0" pivotButton="0" quotePrefix="0" xfId="3">
      <alignment horizontal="center" vertical="center" wrapText="1"/>
    </xf>
    <xf borderId="76" fillId="0" fontId="0" numFmtId="0" pivotButton="0" quotePrefix="0" xfId="0"/>
    <xf borderId="80" fillId="0" fontId="0" numFmtId="0" pivotButton="0" quotePrefix="0" xfId="0"/>
    <xf borderId="97" fillId="0" fontId="0" numFmtId="0" pivotButton="0" quotePrefix="0" xfId="0"/>
    <xf borderId="251" fillId="0" fontId="0" numFmtId="0" pivotButton="0" quotePrefix="0" xfId="0"/>
    <xf borderId="136" fillId="0" fontId="0" numFmtId="0" pivotButton="0" quotePrefix="0" xfId="0"/>
    <xf applyAlignment="1" borderId="247" fillId="0" fontId="59" numFmtId="0" pivotButton="0" quotePrefix="0" xfId="3">
      <alignment horizontal="center" vertical="center" wrapText="1"/>
    </xf>
    <xf borderId="135" fillId="0" fontId="0" numFmtId="0" pivotButton="0" quotePrefix="0" xfId="0"/>
    <xf borderId="176" fillId="0" fontId="0" numFmtId="0" pivotButton="0" quotePrefix="0" xfId="0"/>
    <xf applyAlignment="1" borderId="246" fillId="0" fontId="59" numFmtId="0" pivotButton="0" quotePrefix="0" xfId="3">
      <alignment horizontal="center" vertical="center" wrapText="1"/>
    </xf>
    <xf borderId="192" fillId="0" fontId="0" numFmtId="0" pivotButton="0" quotePrefix="0" xfId="0"/>
    <xf applyAlignment="1" borderId="240" fillId="0" fontId="60" numFmtId="0" pivotButton="0" quotePrefix="0" xfId="3">
      <alignment horizontal="center"/>
    </xf>
    <xf borderId="106" fillId="0" fontId="0" numFmtId="0" pivotButton="0" quotePrefix="0" xfId="0"/>
    <xf borderId="107" fillId="0" fontId="0" numFmtId="0" pivotButton="0" quotePrefix="0" xfId="0"/>
    <xf applyAlignment="1" borderId="243" fillId="0" fontId="60" numFmtId="0" pivotButton="0" quotePrefix="0" xfId="3">
      <alignment horizontal="right"/>
    </xf>
    <xf borderId="212" fillId="0" fontId="0" numFmtId="0" pivotButton="0" quotePrefix="0" xfId="0"/>
    <xf applyAlignment="1" borderId="216" fillId="0" fontId="0" numFmtId="167" pivotButton="0" quotePrefix="0" xfId="0">
      <alignment horizontal="center" vertical="center"/>
    </xf>
    <xf applyAlignment="1" borderId="216" fillId="7" fontId="0" numFmtId="167" pivotButton="0" quotePrefix="0" xfId="0">
      <alignment vertical="center" wrapText="1"/>
    </xf>
    <xf borderId="0" fillId="0" fontId="13" numFmtId="165" pivotButton="0" quotePrefix="0" xfId="3"/>
    <xf borderId="2" fillId="0" fontId="0" numFmtId="0" pivotButton="0" quotePrefix="0" xfId="0"/>
    <xf borderId="252" fillId="0" fontId="0" numFmtId="0" pivotButton="0" quotePrefix="0" xfId="0"/>
    <xf borderId="9" fillId="0" fontId="0" numFmtId="0" pivotButton="0" quotePrefix="0" xfId="0"/>
    <xf borderId="4" fillId="0" fontId="0" numFmtId="0" pivotButton="0" quotePrefix="0" xfId="0"/>
    <xf borderId="253" fillId="0" fontId="0" numFmtId="0" pivotButton="0" quotePrefix="0" xfId="0"/>
    <xf borderId="3" fillId="2" fontId="4" numFmtId="2" pivotButton="0" quotePrefix="0" xfId="0"/>
  </cellXfs>
  <cellStyles count="8">
    <cellStyle builtinId="0" name="Normal" xfId="0"/>
    <cellStyle builtinId="29" name="Énfasis1" xfId="1"/>
    <cellStyle builtinId="5" name="Porcentaje" xfId="2"/>
    <cellStyle name="Normal 2" xfId="3"/>
    <cellStyle name="Porcentaje 2" xfId="4"/>
    <cellStyle name="Euro" xfId="5"/>
    <cellStyle name="Normal - Style1" xfId="6"/>
    <cellStyle name="Normal 295" xfId="7"/>
  </cellStyles>
  <tableStyles count="0" defaultPivotStyle="PivotStyleLight16" defaultTableStyle="TableStyleMedium9"/>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externalLinks/externalLink1.xml" Type="http://schemas.openxmlformats.org/officeDocument/2006/relationships/externalLink" /><Relationship Id="rId12" Target="/xl/externalLinks/externalLink2.xml" Type="http://schemas.openxmlformats.org/officeDocument/2006/relationships/externalLink" /><Relationship Id="rId13" Target="/xl/externalLinks/externalLink3.xml" Type="http://schemas.openxmlformats.org/officeDocument/2006/relationships/externalLink" /><Relationship Id="rId14" Target="/xl/externalLinks/externalLink4.xml" Type="http://schemas.openxmlformats.org/officeDocument/2006/relationships/externalLink" /><Relationship Id="rId15" Target="/xl/externalLinks/externalLink5.xml" Type="http://schemas.openxmlformats.org/officeDocument/2006/relationships/externalLink" /><Relationship Id="rId16" Target="/xl/externalLinks/externalLink6.xml" Type="http://schemas.openxmlformats.org/officeDocument/2006/relationships/externalLink" /><Relationship Id="rId17" Target="styles.xml" Type="http://schemas.openxmlformats.org/officeDocument/2006/relationships/styles" /><Relationship Id="rId18" Target="theme/theme1.xml" Type="http://schemas.openxmlformats.org/officeDocument/2006/relationships/theme" /></Relationships>
</file>

<file path=xl/charts/chart1.xml><?xml version="1.0" encoding="utf-8"?>
<chartSpace xmlns:a="http://schemas.openxmlformats.org/drawingml/2006/main" xmlns="http://schemas.openxmlformats.org/drawingml/2006/chart">
  <chart>
    <title>
      <tx>
        <rich>
          <a:bodyPr/>
          <a:lstStyle/>
          <a:p>
            <a:pPr>
              <a:defRPr b="1" baseline="0" i="0" strike="noStrike" sz="800">
                <a:solidFill>
                  <a:srgbClr val="000000"/>
                </a:solidFill>
                <a:latin typeface="Arial"/>
                <a:ea typeface="Arial"/>
                <a:cs typeface="Arial"/>
              </a:defRPr>
            </a:pPr>
            <a:r>
              <a:rPr lang="es-PE"/>
              <a:t>MAXIMA DEMANDA PA08 10 KV (SET PARACAS)</a:t>
            </a:r>
          </a:p>
        </rich>
      </tx>
      <overlay val="0"/>
      <spPr>
        <a:noFill/>
        <a:ln w="25400">
          <a:noFill/>
          <a:prstDash val="solid"/>
        </a:ln>
      </spPr>
    </title>
    <plotArea>
      <layout/>
      <barChart>
        <barDir val="col"/>
        <grouping val="clustered"/>
        <varyColors val="0"/>
        <ser>
          <idx val="0"/>
          <order val="0"/>
          <tx>
            <v>Evaluacion!#REF!</v>
          </tx>
          <spPr>
            <a:solidFill>
              <a:srgbClr val="9999FF"/>
            </a:solidFill>
            <a:ln w="12700">
              <a:solidFill>
                <a:srgbClr val="000000"/>
              </a:solidFill>
              <a:prstDash val="solid"/>
            </a:ln>
          </spPr>
          <invertIfNegative val="0"/>
          <cat>
            <numLit>
              <formatCode>General</formatCode>
              <ptCount val="1"/>
              <pt idx="0">
                <v>1</v>
              </pt>
            </numLit>
          </cat>
          <val>
            <numLit>
              <formatCode>General</formatCode>
              <ptCount val="1"/>
              <pt idx="0">
                <v>1</v>
              </pt>
            </numLit>
          </val>
        </ser>
        <dLbls>
          <showLegendKey val="0"/>
          <showVal val="0"/>
          <showCatName val="0"/>
          <showSerName val="0"/>
          <showPercent val="0"/>
          <showBubbleSize val="0"/>
        </dLbls>
        <gapWidth val="150"/>
        <axId val="352580544"/>
        <axId val="352587072"/>
      </barChart>
      <catAx>
        <axId val="352580544"/>
        <scaling>
          <orientation val="minMax"/>
        </scaling>
        <delete val="0"/>
        <axPos val="b"/>
        <numFmt formatCode="General" sourceLinked="1"/>
        <majorTickMark val="out"/>
        <minorTickMark val="none"/>
        <tickLblPos val="nextTo"/>
        <spPr>
          <a:ln w="3175">
            <a:solidFill>
              <a:srgbClr val="000000"/>
            </a:solidFill>
            <a:prstDash val="solid"/>
          </a:ln>
        </spPr>
        <txPr>
          <a:bodyPr rot="-5400000" vert="horz"/>
          <a:lstStyle/>
          <a:p>
            <a:pPr>
              <a:defRPr b="0" baseline="0" i="0" strike="noStrike" sz="700">
                <a:solidFill>
                  <a:srgbClr val="000000"/>
                </a:solidFill>
                <a:latin typeface="Arial"/>
                <a:ea typeface="Arial"/>
                <a:cs typeface="Arial"/>
              </a:defRPr>
            </a:pPr>
            <a:r>
              <a:t/>
            </a:r>
            <a:endParaRPr lang="es-PE"/>
          </a:p>
        </txPr>
        <crossAx val="352587072"/>
        <crosses val="autoZero"/>
        <auto val="1"/>
        <lblAlgn val="ctr"/>
        <lblOffset val="100"/>
        <tickLblSkip val="1"/>
        <tickMarkSkip val="1"/>
        <noMultiLvlLbl val="0"/>
      </catAx>
      <valAx>
        <axId val="352587072"/>
        <scaling>
          <orientation val="minMax"/>
          <min val="0"/>
        </scaling>
        <delete val="0"/>
        <axPos val="l"/>
        <majorGridlines>
          <spPr>
            <a:ln w="3175">
              <a:solidFill>
                <a:srgbClr val="808080"/>
              </a:solidFill>
              <a:prstDash val="sysDash"/>
            </a:ln>
          </spPr>
        </majorGridlines>
        <title>
          <tx>
            <rich>
              <a:bodyPr rot="0" vert="horz"/>
              <a:lstStyle/>
              <a:p>
                <a:pPr algn="ctr">
                  <a:defRPr b="1" baseline="0" i="0" strike="noStrike" sz="225">
                    <a:solidFill>
                      <a:srgbClr val="000000"/>
                    </a:solidFill>
                    <a:latin typeface="Arial"/>
                    <a:ea typeface="Arial"/>
                    <a:cs typeface="Arial"/>
                  </a:defRPr>
                </a:pPr>
                <a:r>
                  <a:rPr lang="es-PE"/>
                  <a:t>MD (KW)</a:t>
                </a:r>
              </a:p>
            </rich>
          </tx>
          <overlay val="0"/>
          <spPr>
            <a:noFill/>
            <a:ln w="25400">
              <a:noFill/>
              <a:prstDash val="solid"/>
            </a:ln>
          </spPr>
        </title>
        <numFmt formatCode="General" sourceLinked="1"/>
        <majorTickMark val="out"/>
        <minorTickMark val="none"/>
        <tickLblPos val="nextTo"/>
        <spPr>
          <a:ln w="3175">
            <a:solidFill>
              <a:srgbClr val="000000"/>
            </a:solidFill>
            <a:prstDash val="solid"/>
          </a:ln>
        </spPr>
        <txPr>
          <a:bodyPr rot="0" vert="horz"/>
          <a:lstStyle/>
          <a:p>
            <a:pPr>
              <a:defRPr b="0" baseline="0" i="0" strike="noStrike" sz="225">
                <a:solidFill>
                  <a:srgbClr val="000000"/>
                </a:solidFill>
                <a:latin typeface="Arial"/>
                <a:ea typeface="Arial"/>
                <a:cs typeface="Arial"/>
              </a:defRPr>
            </a:pPr>
            <a:r>
              <a:t/>
            </a:r>
            <a:endParaRPr lang="es-PE"/>
          </a:p>
        </txPr>
        <crossAx val="352580544"/>
        <crosses val="autoZero"/>
        <crossBetween val="between"/>
        <majorUnit val="500"/>
      </valAx>
    </plotArea>
    <plotVisOnly val="1"/>
    <dispBlanksAs val="gap"/>
  </chart>
</chartSpace>
</file>

<file path=xl/comments/comment1.xml><?xml version="1.0" encoding="utf-8"?>
<comments xmlns="http://schemas.openxmlformats.org/spreadsheetml/2006/main">
  <authors>
    <author>Anderson Raqui Alata</author>
  </authors>
  <commentList>
    <comment authorId="0" ref="K45" shapeId="0">
      <text>
        <t>Anderson Raqui Alata:
1350 kw DEL QUINDE</t>
      </text>
    </comment>
  </commentList>
</comments>
</file>

<file path=xl/comments/comment2.xml><?xml version="1.0" encoding="utf-8"?>
<comments xmlns="http://schemas.openxmlformats.org/spreadsheetml/2006/main">
  <authors>
    <author>tc={0150FCB4-BF70-4346-A009-2CE94FAEAF1D}</author>
  </authors>
  <commentList>
    <comment authorId="0" ref="R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De reporte de mediciones</t>
      </text>
    </comment>
  </commentList>
</comments>
</file>

<file path=xl/comments/comment3.xml><?xml version="1.0" encoding="utf-8"?>
<comments xmlns="http://schemas.openxmlformats.org/spreadsheetml/2006/main">
  <authors>
    <author>Orlando Sulca Vilcatoma</author>
  </authors>
  <commentList>
    <comment authorId="0" ref="J5" shapeId="0">
      <text>
        <t>situacion ligado y corte</t>
      </text>
    </comment>
    <comment authorId="0" ref="K5" shapeId="0">
      <text>
        <t>situacion ligado y corte</t>
      </text>
    </comment>
    <comment authorId="0" ref="L5" shapeId="0">
      <text>
        <t>situacion ligado y corte</t>
      </text>
    </comment>
    <comment authorId="0" ref="M5" shapeId="0">
      <text>
        <t>situacion ligado y corte</t>
      </text>
    </comment>
    <comment authorId="0" ref="N5" shapeId="0">
      <text>
        <t>situacion ligado y corte</t>
      </text>
    </comment>
    <comment authorId="0" ref="O5" shapeId="0">
      <text>
        <t>situacion ligado y corte</t>
      </text>
    </comment>
    <comment authorId="0" ref="P5" shapeId="0">
      <text>
        <t>situacion ligado y corte</t>
      </text>
    </comment>
    <comment authorId="0" ref="R5" shapeId="0">
      <text>
        <t>situacion ligado y corte</t>
      </text>
    </comment>
  </commentList>
</comments>
</file>

<file path=xl/drawings/_rels/drawing1.xml.rels><Relationships xmlns="http://schemas.openxmlformats.org/package/2006/relationships"><Relationship Id="rId1" Target="/xl/media/image1.png" Type="http://schemas.openxmlformats.org/officeDocument/2006/relationships/image" /><Relationship Id="rId2" Target="/xl/media/image2.png" Type="http://schemas.openxmlformats.org/officeDocument/2006/relationships/image" /><Relationship Id="rId3" Target="/xl/media/image3.png" Type="http://schemas.openxmlformats.org/officeDocument/2006/relationships/image" /><Relationship Id="rId4" Target="/xl/media/image4.png" Type="http://schemas.openxmlformats.org/officeDocument/2006/relationships/image" /><Relationship Id="rId5" Target="/xl/media/image5.png" Type="http://schemas.openxmlformats.org/officeDocument/2006/relationships/image" /><Relationship Id="rId6" Target="/xl/media/image6.png" Type="http://schemas.openxmlformats.org/officeDocument/2006/relationships/image" /><Relationship Id="rId7" Target="/xl/media/image7.png" Type="http://schemas.openxmlformats.org/officeDocument/2006/relationships/image" /><Relationship Id="rId8" Target="/xl/media/image8.png" Type="http://schemas.openxmlformats.org/officeDocument/2006/relationships/image" /><Relationship Id="rId9" Target="/xl/media/image9.png" Type="http://schemas.openxmlformats.org/officeDocument/2006/relationships/image" /><Relationship Id="rId10" Target="/xl/media/image10.png" Type="http://schemas.openxmlformats.org/officeDocument/2006/relationships/image" /></Relationships>
</file>

<file path=xl/drawings/_rels/drawing2.xml.rels><Relationships xmlns="http://schemas.openxmlformats.org/package/2006/relationships"><Relationship Id="rId1" Target="/xl/charts/chart1.xml" Type="http://schemas.openxmlformats.org/officeDocument/2006/relationships/chart" /></Relationships>
</file>

<file path=xl/drawings/_rels/drawing3.xml.rels><Relationships xmlns="http://schemas.openxmlformats.org/package/2006/relationships"><Relationship Id="rId1" Target="/xl/media/image11.png" Type="http://schemas.openxmlformats.org/officeDocument/2006/relationships/image" /><Relationship Id="rId2" Target="/xl/media/image12.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254000</colOff>
      <row>147</row>
      <rowOff>0</rowOff>
    </from>
    <to>
      <col>9</col>
      <colOff>701674</colOff>
      <row>164</row>
      <rowOff>14536</rowOff>
    </to>
    <pic>
      <nvPicPr>
        <cNvPr id="7" name="Imagen 6"/>
        <cNvPicPr>
          <a:picLocks noChangeAspect="1"/>
        </cNvPicPr>
      </nvPicPr>
      <blipFill>
        <a:blip r:embed="rId1"/>
        <a:stretch>
          <a:fillRect/>
        </a:stretch>
      </blipFill>
      <spPr>
        <a:xfrm>
          <a:off x="4806950" y="28489275"/>
          <a:ext cx="5635624" cy="3246686"/>
        </a:xfrm>
        <a:prstGeom prst="rect">
          <avLst/>
        </a:prstGeom>
        <a:ln>
          <a:solidFill>
            <a:sysClr lastClr="000000" val="windowText"/>
          </a:solidFill>
          <a:prstDash val="solid"/>
        </a:ln>
      </spPr>
    </pic>
    <clientData/>
  </twoCellAnchor>
  <twoCellAnchor editAs="oneCell">
    <from>
      <col>4</col>
      <colOff>471715</colOff>
      <row>37</row>
      <rowOff>54427</rowOff>
    </from>
    <to>
      <col>10</col>
      <colOff>154216</colOff>
      <row>54</row>
      <rowOff>133443</rowOff>
    </to>
    <pic>
      <nvPicPr>
        <cNvPr id="3" name="Imagen 2"/>
        <cNvPicPr>
          <a:picLocks noChangeAspect="1"/>
        </cNvPicPr>
      </nvPicPr>
      <blipFill>
        <a:blip r:embed="rId2"/>
        <a:stretch>
          <a:fillRect/>
        </a:stretch>
      </blipFill>
      <spPr>
        <a:xfrm>
          <a:off x="5243286" y="7810498"/>
          <a:ext cx="5923644" cy="3471731"/>
        </a:xfrm>
        <a:prstGeom prst="rect">
          <avLst/>
        </a:prstGeom>
        <a:ln>
          <a:solidFill>
            <a:sysClr lastClr="000000" val="windowText"/>
          </a:solidFill>
          <a:prstDash val="solid"/>
        </a:ln>
      </spPr>
    </pic>
    <clientData/>
  </twoCellAnchor>
  <twoCellAnchor editAs="oneCell">
    <from>
      <col>4</col>
      <colOff>514350</colOff>
      <row>66</row>
      <rowOff>180975</rowOff>
    </from>
    <to>
      <col>10</col>
      <colOff>739775</colOff>
      <row>83</row>
      <rowOff>15875</rowOff>
    </to>
    <pic>
      <nvPicPr>
        <cNvPr id="24" name="Imagen 23"/>
        <cNvPicPr>
          <a:picLocks noChangeAspect="1"/>
        </cNvPicPr>
      </nvPicPr>
      <blipFill>
        <a:blip r:embed="rId3"/>
        <a:stretch>
          <a:fillRect/>
        </a:stretch>
      </blipFill>
      <spPr>
        <a:xfrm>
          <a:off x="5067300" y="13239750"/>
          <a:ext cx="6172200" cy="3067050"/>
        </a:xfrm>
        <a:prstGeom prst="rect">
          <avLst/>
        </a:prstGeom>
        <a:ln>
          <a:solidFill>
            <a:sysClr lastClr="000000" val="windowText"/>
          </a:solidFill>
          <a:prstDash val="solid"/>
        </a:ln>
      </spPr>
    </pic>
    <clientData/>
  </twoCellAnchor>
  <twoCellAnchor editAs="oneCell">
    <from>
      <col>4</col>
      <colOff>889908</colOff>
      <row>117</row>
      <rowOff>110672</rowOff>
    </from>
    <to>
      <col>10</col>
      <colOff>381907</colOff>
      <row>133</row>
      <rowOff>131077</rowOff>
    </to>
    <pic>
      <nvPicPr>
        <cNvPr id="16" name="Imagen 15"/>
        <cNvPicPr>
          <a:picLocks noChangeAspect="1"/>
        </cNvPicPr>
      </nvPicPr>
      <blipFill>
        <a:blip r:embed="rId4"/>
        <a:stretch>
          <a:fillRect/>
        </a:stretch>
      </blipFill>
      <spPr>
        <a:xfrm>
          <a:off x="5442858" y="22884947"/>
          <a:ext cx="5445124" cy="3065230"/>
        </a:xfrm>
        <a:prstGeom prst="rect">
          <avLst/>
        </a:prstGeom>
        <a:ln>
          <a:solidFill>
            <a:sysClr lastClr="000000" val="windowText"/>
          </a:solidFill>
          <a:prstDash val="solid"/>
        </a:ln>
      </spPr>
    </pic>
    <clientData/>
  </twoCellAnchor>
  <twoCellAnchor editAs="oneCell">
    <from>
      <col>0</col>
      <colOff>702576</colOff>
      <row>115</row>
      <rowOff>73395</rowOff>
    </from>
    <to>
      <col>4</col>
      <colOff>403893</colOff>
      <row>126</row>
      <rowOff>36285</rowOff>
    </to>
    <pic>
      <nvPicPr>
        <cNvPr id="27" name="Imagen 26"/>
        <cNvPicPr>
          <a:picLocks noChangeAspect="1"/>
        </cNvPicPr>
      </nvPicPr>
      <blipFill>
        <a:blip r:embed="rId5"/>
        <a:stretch>
          <a:fillRect/>
        </a:stretch>
      </blipFill>
      <spPr>
        <a:xfrm>
          <a:off x="702576" y="23396038"/>
          <a:ext cx="4472888" cy="2158176"/>
        </a:xfrm>
        <a:prstGeom prst="rect">
          <avLst/>
        </a:prstGeom>
        <a:ln>
          <a:prstDash val="solid"/>
        </a:ln>
      </spPr>
    </pic>
    <clientData/>
  </twoCellAnchor>
  <twoCellAnchor editAs="oneCell">
    <from>
      <col>0</col>
      <colOff>752475</colOff>
      <row>146</row>
      <rowOff>123825</rowOff>
    </from>
    <to>
      <col>4</col>
      <colOff>206375</colOff>
      <row>158</row>
      <rowOff>0</rowOff>
    </to>
    <pic>
      <nvPicPr>
        <cNvPr id="35" name="Imagen 34"/>
        <cNvPicPr>
          <a:picLocks noChangeAspect="1"/>
        </cNvPicPr>
      </nvPicPr>
      <blipFill>
        <a:blip r:embed="rId6"/>
        <a:stretch>
          <a:fillRect/>
        </a:stretch>
      </blipFill>
      <spPr>
        <a:xfrm>
          <a:off x="752475" y="28422600"/>
          <a:ext cx="4000500" cy="2162175"/>
        </a:xfrm>
        <a:prstGeom prst="rect">
          <avLst/>
        </a:prstGeom>
        <a:ln>
          <a:prstDash val="solid"/>
        </a:ln>
      </spPr>
    </pic>
    <clientData/>
  </twoCellAnchor>
  <twoCellAnchor editAs="oneCell">
    <from>
      <col>1</col>
      <colOff>19050</colOff>
      <row>67</row>
      <rowOff>104775</rowOff>
    </from>
    <to>
      <col>4</col>
      <colOff>114300</colOff>
      <row>79</row>
      <rowOff>53975</rowOff>
    </to>
    <pic>
      <nvPicPr>
        <cNvPr id="38" name="Imagen 37"/>
        <cNvPicPr>
          <a:picLocks noChangeAspect="1"/>
        </cNvPicPr>
      </nvPicPr>
      <blipFill>
        <a:blip r:embed="rId7"/>
        <a:stretch>
          <a:fillRect/>
        </a:stretch>
      </blipFill>
      <spPr>
        <a:xfrm>
          <a:off x="781050" y="13354050"/>
          <a:ext cx="3886200" cy="2228850"/>
        </a:xfrm>
        <a:prstGeom prst="rect">
          <avLst/>
        </a:prstGeom>
        <a:ln>
          <a:prstDash val="solid"/>
        </a:ln>
      </spPr>
    </pic>
    <clientData/>
  </twoCellAnchor>
  <twoCellAnchor editAs="oneCell">
    <from>
      <col>0</col>
      <colOff>698500</colOff>
      <row>40</row>
      <rowOff>3175</rowOff>
    </from>
    <to>
      <col>4</col>
      <colOff>145076</colOff>
      <row>50</row>
      <rowOff>91639</rowOff>
    </to>
    <pic>
      <nvPicPr>
        <cNvPr id="2" name="Imagen 1"/>
        <cNvPicPr>
          <a:picLocks noChangeAspect="1"/>
        </cNvPicPr>
      </nvPicPr>
      <blipFill>
        <a:blip r:embed="rId8"/>
        <a:stretch>
          <a:fillRect/>
        </a:stretch>
      </blipFill>
      <spPr>
        <a:xfrm>
          <a:off x="698500" y="8108950"/>
          <a:ext cx="3993176" cy="1993464"/>
        </a:xfrm>
        <a:prstGeom prst="rect">
          <avLst/>
        </a:prstGeom>
        <a:ln>
          <a:prstDash val="solid"/>
        </a:ln>
      </spPr>
    </pic>
    <clientData/>
  </twoCellAnchor>
  <twoCellAnchor editAs="oneCell">
    <from>
      <col>11</col>
      <colOff>444500</colOff>
      <row>109</row>
      <rowOff>45357</rowOff>
    </from>
    <to>
      <col>17</col>
      <colOff>76340</colOff>
      <row>120</row>
      <rowOff>136390</rowOff>
    </to>
    <pic>
      <nvPicPr>
        <cNvPr id="17" name="Imagen 16"/>
        <cNvPicPr>
          <a:picLocks noChangeAspect="1"/>
        </cNvPicPr>
      </nvPicPr>
      <blipFill>
        <a:blip r:embed="rId9"/>
        <a:stretch>
          <a:fillRect/>
        </a:stretch>
      </blipFill>
      <spPr>
        <a:xfrm>
          <a:off x="12255500" y="22170571"/>
          <a:ext cx="4258269" cy="2286319"/>
        </a:xfrm>
        <a:prstGeom prst="rect">
          <avLst/>
        </a:prstGeom>
        <a:ln>
          <a:prstDash val="solid"/>
        </a:ln>
      </spPr>
    </pic>
    <clientData/>
  </twoCellAnchor>
  <twoCellAnchor editAs="oneCell">
    <from>
      <col>11</col>
      <colOff>435429</colOff>
      <row>117</row>
      <rowOff>117928</rowOff>
    </from>
    <to>
      <col>17</col>
      <colOff>153006</colOff>
      <row>129</row>
      <rowOff>34793</rowOff>
    </to>
    <pic>
      <nvPicPr>
        <cNvPr id="18" name="Imagen 17"/>
        <cNvPicPr>
          <a:picLocks noChangeAspect="1"/>
        </cNvPicPr>
      </nvPicPr>
      <blipFill>
        <a:blip r:embed="rId10"/>
        <a:stretch>
          <a:fillRect/>
        </a:stretch>
      </blipFill>
      <spPr>
        <a:xfrm>
          <a:off x="12246429" y="23839714"/>
          <a:ext cx="4344006" cy="2305372"/>
        </a:xfrm>
        <a:prstGeom prst="rect">
          <avLst/>
        </a:prstGeom>
        <a:ln>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3</col>
      <colOff>123825</colOff>
      <row>3</row>
      <rowOff>0</rowOff>
    </from>
    <to>
      <col>8</col>
      <colOff>676275</colOff>
      <row>3</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20</col>
      <colOff>1011465</colOff>
      <row>8</row>
      <rowOff>142875</rowOff>
    </from>
    <to>
      <col>23</col>
      <colOff>54097</colOff>
      <row>20</row>
      <rowOff>76678</rowOff>
    </to>
    <pic>
      <nvPicPr>
        <cNvPr id="2" name="Imagen 1"/>
        <cNvPicPr>
          <a:picLocks noChangeAspect="1"/>
        </cNvPicPr>
      </nvPicPr>
      <blipFill>
        <a:blip r:embed="rId1"/>
        <a:stretch>
          <a:fillRect/>
        </a:stretch>
      </blipFill>
      <spPr>
        <a:xfrm>
          <a:off x="20283715" y="1666875"/>
          <a:ext cx="4097232" cy="2195130"/>
        </a:xfrm>
        <a:prstGeom prst="rect">
          <avLst/>
        </a:prstGeom>
        <a:ln>
          <a:prstDash val="solid"/>
        </a:ln>
      </spPr>
    </pic>
    <clientData/>
  </twoCellAnchor>
  <twoCellAnchor editAs="oneCell">
    <from>
      <col>20</col>
      <colOff>1183408</colOff>
      <row>32</row>
      <rowOff>77932</rowOff>
    </from>
    <to>
      <col>23</col>
      <colOff>306539</colOff>
      <row>43</row>
      <rowOff>170295</rowOff>
    </to>
    <pic>
      <nvPicPr>
        <cNvPr id="3" name="Imagen 2"/>
        <cNvPicPr>
          <a:picLocks noChangeAspect="1"/>
        </cNvPicPr>
      </nvPicPr>
      <blipFill>
        <a:blip r:embed="rId2"/>
        <a:stretch>
          <a:fillRect/>
        </a:stretch>
      </blipFill>
      <spPr>
        <a:xfrm>
          <a:off x="20455658" y="6316807"/>
          <a:ext cx="4187256" cy="2187864"/>
        </a:xfrm>
        <a:prstGeom prst="rect">
          <avLst/>
        </a:prstGeom>
        <a:ln>
          <a:prstDash val="solid"/>
        </a:ln>
      </spPr>
    </pic>
    <clientData/>
  </twoCellAnchor>
</wsDr>
</file>

<file path=xl/externalLinks/_rels/externalLink1.xml.rels><Relationships xmlns="http://schemas.openxmlformats.org/package/2006/relationships"><Relationship Id="rId2" Target="file:///\\192.168.50.46\Documentacion_GO\2.-INFORMES_DE_OPERACI&#211;N_CCO\REPORTE%20MEDICIONES%20ELD\2023\MARZO\RETIRO%2060-10kV_DS-2022_OK.xls" TargetMode="External" Type="http://schemas.openxmlformats.org/officeDocument/2006/relationships/externalLinkPath" /></Relationships>
</file>

<file path=xl/externalLinks/_rels/externalLink2.xml.rels><Relationships xmlns="http://schemas.openxmlformats.org/package/2006/relationships"><Relationship Id="rId1" Target="file:///\\192.168.50.46\eld$\osulca\Disco%20D\orlando\LOCALIDADES%20ELCTRODUNAS.xlsx" TargetMode="External" Type="http://schemas.openxmlformats.org/officeDocument/2006/relationships/externalLinkPath" /></Relationships>
</file>

<file path=xl/externalLinks/_rels/externalLink3.xml.rels><Relationships xmlns="http://schemas.openxmlformats.org/package/2006/relationships"><Relationship Id="rId2" Target="../../../../../../../../../OneDrive/Mercados/2018/Trabalhos/Osinergmin-PE/Analisis/# Reprod Modelo VAD/ELDU/Modelo VAD - Reprod v1.xlsx" TargetMode="External" Type="http://schemas.openxmlformats.org/officeDocument/2006/relationships/externalLinkPath" /></Relationships>
</file>

<file path=xl/externalLinks/_rels/externalLink4.xml.rels><Relationships xmlns="http://schemas.openxmlformats.org/package/2006/relationships"><Relationship Id="rId2" Target="file:///\\192.168.50.46\Documentacion_GO\2.-INFORMES_DE_OPERACI&#211;N_CCO\REPORTE%20MEDICIONES%20ELD\2022\DICIEMBRE\REPORTE%20MEDIDORES%20ELD%20MT_%23&amp;%25.xls" TargetMode="External" Type="http://schemas.openxmlformats.org/officeDocument/2006/relationships/externalLinkPath" /></Relationships>
</file>

<file path=xl/externalLinks/_rels/externalLink5.xml.rels><Relationships xmlns="http://schemas.openxmlformats.org/package/2006/relationships"><Relationship Id="rId1" Target="file:///\\192.168.50.46\eld$\Users\osulca\Downloads\VNR_TSUMINISTRO_25_02_2022_04_01_35.xlsx" TargetMode="External" Type="http://schemas.openxmlformats.org/officeDocument/2006/relationships/externalLinkPath" /></Relationships>
</file>

<file path=xl/externalLinks/_rels/externalLink6.xml.rels><Relationships xmlns="http://schemas.openxmlformats.org/package/2006/relationships"><Relationship Id="rId1" Target="file:///\\192.168.50.46\eld$\Users\osulca\Desktop\VNR_TSUMINISTRO_04_02_2020_09_57_35.xlsx" TargetMode="External" Type="http://schemas.openxmlformats.org/officeDocument/2006/relationships/externalLinkPath" /></Relationships>
</file>

<file path=xl/externalLinks/externalLink1.xml><?xml version="1.0" encoding="utf-8"?>
<externalLink xmlns:r="http://schemas.openxmlformats.org/officeDocument/2006/relationships" xmlns="http://schemas.openxmlformats.org/spreadsheetml/2006/main">
  <externalBook r:id="rId1">
    <sheetNames>
      <sheetName val="Presentation Sheet"/>
      <sheetName val="|PRIVATE|Custom"/>
      <sheetName val="|PRIVATE|Template"/>
      <sheetName val="|PRIVATE|Datasheets"/>
      <sheetName val="|PRIVATE|Status"/>
      <sheetName val="L-6623"/>
      <sheetName val="L-6624"/>
      <sheetName val="L-6625"/>
      <sheetName val="L-6605"/>
      <sheetName val="L-6606"/>
      <sheetName val="L-6603"/>
      <sheetName val="L-6604"/>
      <sheetName val="L-6630"/>
      <sheetName val="L-6615_IN"/>
      <sheetName val="L-6615_SL"/>
      <sheetName val="B10_Ica"/>
      <sheetName val="B10_Independencia"/>
      <sheetName val="CT_LUREN-10KV"/>
      <sheetName val="CT PEDREGAL"/>
      <sheetName val="SC215"/>
      <sheetName val="L-662302"/>
      <sheetName val="L-6508"/>
      <sheetName val="L-6603-02"/>
      <sheetName val="L6606_PA"/>
      <sheetName val="L-6508 TA_HU"/>
      <sheetName val="SET AL"/>
      <sheetName val="TIPICO 2021"/>
      <sheetName val="CALENDARIO 2021"/>
      <sheetName val="2022"/>
      <sheetName val="RESUMEN TOTAL"/>
      <sheetName val="RESUMEN SIN COELVISAC"/>
      <sheetName val="Acumulado"/>
      <sheetName val="Graficos"/>
      <sheetName val="RES SISTEMA"/>
      <sheetName val="RESU _SEMANAL"/>
      <sheetName val="FACTOR PESCA"/>
      <sheetName val="EJECUT_MES"/>
      <sheetName val="|PRIVATE|RawData"/>
      <sheetName val="L6619TM"/>
      <sheetName val="L-6616"/>
      <sheetName val="BESS"/>
      <sheetName val="Hoja4"/>
      <sheetName val="LL203"/>
      <sheetName val="LL202"/>
      <sheetName val="LL204"/>
      <sheetName val="LL2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9">
          <cell r="C9">
            <v>44986.010416666664</v>
          </cell>
          <cell r="D9">
            <v>8.9910458984375001</v>
          </cell>
          <cell r="E9">
            <v>7.647552734375</v>
          </cell>
          <cell r="F9">
            <v>8.7675146484374995</v>
          </cell>
          <cell r="G9">
            <v>4.4450429687500002</v>
          </cell>
          <cell r="H9">
            <v>0</v>
          </cell>
          <cell r="I9">
            <v>4.6833203125000002</v>
          </cell>
          <cell r="J9">
            <v>0</v>
          </cell>
          <cell r="K9">
            <v>4.6833203125000002</v>
          </cell>
          <cell r="L9">
            <v>30.089433593750002</v>
          </cell>
          <cell r="M9">
            <v>7.5223583984375004</v>
          </cell>
          <cell r="N9">
            <v>18.390830078124999</v>
          </cell>
          <cell r="O9">
            <v>9.7970908203124996</v>
          </cell>
          <cell r="P9">
            <v>13.235388671875</v>
          </cell>
          <cell r="Q9">
            <v>12.285012695312499</v>
          </cell>
          <cell r="R9">
            <v>53.708322265625</v>
          </cell>
          <cell r="S9">
            <v>13.42708056640625</v>
          </cell>
          <cell r="T9">
            <v>0</v>
          </cell>
          <cell r="U9">
            <v>29.279343749999999</v>
          </cell>
          <cell r="V9">
            <v>29.279343749999999</v>
          </cell>
          <cell r="W9">
            <v>7.3198359374999997</v>
          </cell>
          <cell r="X9">
            <v>16.539271484375</v>
          </cell>
          <cell r="Y9">
            <v>13.587134765625001</v>
          </cell>
          <cell r="Z9">
            <v>8.9992578124999998</v>
          </cell>
          <cell r="AA9">
            <v>1.2774150390625001</v>
          </cell>
          <cell r="AB9">
            <v>40.403079101562497</v>
          </cell>
          <cell r="AD9">
            <v>0.5731915283203125</v>
          </cell>
          <cell r="AE9">
            <v>1.8523365259170532E-3</v>
          </cell>
        </row>
        <row r="10">
          <cell r="C10">
            <v>44986.020833333328</v>
          </cell>
          <cell r="D10">
            <v>11.529747070312499</v>
          </cell>
          <cell r="E10">
            <v>10.212041992187499</v>
          </cell>
          <cell r="F10">
            <v>8.7356650390624999</v>
          </cell>
          <cell r="G10">
            <v>-1.0209204711914062</v>
          </cell>
          <cell r="H10">
            <v>0</v>
          </cell>
          <cell r="I10">
            <v>12.1665126953125</v>
          </cell>
          <cell r="J10">
            <v>0</v>
          </cell>
          <cell r="K10">
            <v>12.1665126953125</v>
          </cell>
          <cell r="L10">
            <v>42.643966796874992</v>
          </cell>
          <cell r="N10">
            <v>18.070125000000001</v>
          </cell>
          <cell r="O10">
            <v>9.8979648437499996</v>
          </cell>
          <cell r="P10">
            <v>21.205818359375002</v>
          </cell>
          <cell r="Q10">
            <v>21.917066406250001</v>
          </cell>
          <cell r="R10">
            <v>71.090974609374996</v>
          </cell>
          <cell r="T10">
            <v>0</v>
          </cell>
          <cell r="U10">
            <v>28.900097656250001</v>
          </cell>
          <cell r="V10">
            <v>28.900097656250001</v>
          </cell>
          <cell r="X10">
            <v>0.36326684570312501</v>
          </cell>
          <cell r="Y10">
            <v>0.34981121826171874</v>
          </cell>
          <cell r="Z10">
            <v>8.9389414062500006</v>
          </cell>
          <cell r="AA10">
            <v>1.2711483154296874</v>
          </cell>
          <cell r="AB10">
            <v>10.923167785644532</v>
          </cell>
          <cell r="AD10">
            <v>0.56959698486328125</v>
          </cell>
          <cell r="AE10">
            <v>1.8331758975982666E-3</v>
          </cell>
        </row>
        <row r="11">
          <cell r="C11">
            <v>44986.03125</v>
          </cell>
          <cell r="D11">
            <v>11.3690537109375</v>
          </cell>
          <cell r="E11">
            <v>10.063567382812501</v>
          </cell>
          <cell r="F11">
            <v>8.7084873046875</v>
          </cell>
          <cell r="G11">
            <v>-1.0700203857421875</v>
          </cell>
          <cell r="H11">
            <v>0</v>
          </cell>
          <cell r="I11">
            <v>12.038685546875</v>
          </cell>
          <cell r="J11">
            <v>0</v>
          </cell>
          <cell r="K11">
            <v>12.038685546875</v>
          </cell>
          <cell r="L11">
            <v>42.179793945312504</v>
          </cell>
          <cell r="N11">
            <v>17.715585937499998</v>
          </cell>
          <cell r="O11">
            <v>9.9452587890624997</v>
          </cell>
          <cell r="P11">
            <v>21.396236328124999</v>
          </cell>
          <cell r="Q11">
            <v>22.21367578125</v>
          </cell>
          <cell r="R11">
            <v>71.270756835937505</v>
          </cell>
          <cell r="T11">
            <v>0</v>
          </cell>
          <cell r="U11">
            <v>28.438986328125001</v>
          </cell>
          <cell r="V11">
            <v>28.438986328125001</v>
          </cell>
          <cell r="X11">
            <v>8.0572402954101563E-2</v>
          </cell>
          <cell r="Y11">
            <v>-0.10366522979736328</v>
          </cell>
          <cell r="Z11">
            <v>8.6705605468750004</v>
          </cell>
          <cell r="AA11">
            <v>1.2449677734375</v>
          </cell>
          <cell r="AB11">
            <v>9.8924354934692378</v>
          </cell>
          <cell r="AD11">
            <v>0.55868048095703127</v>
          </cell>
          <cell r="AE11">
            <v>1.7255665063858033E-3</v>
          </cell>
        </row>
        <row r="12">
          <cell r="C12">
            <v>44986.041666666664</v>
          </cell>
          <cell r="D12">
            <v>11.024897460937501</v>
          </cell>
          <cell r="E12">
            <v>9.7548017578124995</v>
          </cell>
          <cell r="F12">
            <v>8.8939902343749999</v>
          </cell>
          <cell r="G12">
            <v>-0.79909338378906247</v>
          </cell>
          <cell r="H12">
            <v>0</v>
          </cell>
          <cell r="I12">
            <v>11.462865234375</v>
          </cell>
          <cell r="J12">
            <v>0</v>
          </cell>
          <cell r="K12">
            <v>11.462865234375</v>
          </cell>
          <cell r="L12">
            <v>41.136554687500002</v>
          </cell>
          <cell r="N12">
            <v>17.495412109375</v>
          </cell>
          <cell r="O12">
            <v>9.8986025390624999</v>
          </cell>
          <cell r="P12">
            <v>21.390580078125002</v>
          </cell>
          <cell r="Q12">
            <v>22.225789062499999</v>
          </cell>
          <cell r="R12">
            <v>71.010383789062502</v>
          </cell>
          <cell r="T12">
            <v>0</v>
          </cell>
          <cell r="U12">
            <v>28.0833046875</v>
          </cell>
          <cell r="V12">
            <v>28.0833046875</v>
          </cell>
          <cell r="X12">
            <v>8.7279174804687498E-2</v>
          </cell>
          <cell r="Y12">
            <v>-0.10501580047607421</v>
          </cell>
          <cell r="Z12">
            <v>8.6521679687499997</v>
          </cell>
          <cell r="AA12">
            <v>1.2391033935546876</v>
          </cell>
          <cell r="AB12">
            <v>9.8735347366333013</v>
          </cell>
          <cell r="AD12">
            <v>0.55803759765625005</v>
          </cell>
          <cell r="AE12">
            <v>1.8339188098907471E-3</v>
          </cell>
        </row>
        <row r="13">
          <cell r="C13">
            <v>44986.052083333328</v>
          </cell>
          <cell r="D13">
            <v>10.642435546874999</v>
          </cell>
          <cell r="E13">
            <v>9.3532998046875004</v>
          </cell>
          <cell r="F13">
            <v>8.9420869140625001</v>
          </cell>
          <cell r="G13">
            <v>-0.48890682983398437</v>
          </cell>
          <cell r="H13">
            <v>0</v>
          </cell>
          <cell r="I13">
            <v>10.744571289062501</v>
          </cell>
          <cell r="J13">
            <v>0</v>
          </cell>
          <cell r="K13">
            <v>10.744571289062501</v>
          </cell>
          <cell r="L13">
            <v>39.682393554687501</v>
          </cell>
          <cell r="N13">
            <v>17.310167968750001</v>
          </cell>
          <cell r="O13">
            <v>9.3650429687500001</v>
          </cell>
          <cell r="P13">
            <v>20.71603125</v>
          </cell>
          <cell r="Q13">
            <v>21.626607421875001</v>
          </cell>
          <cell r="R13">
            <v>69.017849609374991</v>
          </cell>
          <cell r="T13">
            <v>0</v>
          </cell>
          <cell r="U13">
            <v>27.956248046875</v>
          </cell>
          <cell r="V13">
            <v>27.956248046875</v>
          </cell>
          <cell r="X13">
            <v>8.0206764221191412E-2</v>
          </cell>
          <cell r="Y13">
            <v>-0.10263854980468751</v>
          </cell>
          <cell r="Z13">
            <v>9.4571191406250001</v>
          </cell>
          <cell r="AA13">
            <v>1.2527679443359374</v>
          </cell>
          <cell r="AB13">
            <v>10.687455299377442</v>
          </cell>
          <cell r="AD13">
            <v>0.55301110839843748</v>
          </cell>
          <cell r="AE13">
            <v>1.9507019519805909E-3</v>
          </cell>
        </row>
        <row r="14">
          <cell r="C14">
            <v>44986.0625</v>
          </cell>
          <cell r="D14">
            <v>10.531874999999999</v>
          </cell>
          <cell r="E14">
            <v>9.2187128906249995</v>
          </cell>
          <cell r="F14">
            <v>8.9076757812499991</v>
          </cell>
          <cell r="G14">
            <v>-0.4441483459472656</v>
          </cell>
          <cell r="H14">
            <v>0</v>
          </cell>
          <cell r="I14">
            <v>10.557990234375</v>
          </cell>
          <cell r="J14">
            <v>0</v>
          </cell>
          <cell r="K14">
            <v>10.557990234375</v>
          </cell>
          <cell r="L14">
            <v>39.216253906249996</v>
          </cell>
          <cell r="N14">
            <v>17.017308593749998</v>
          </cell>
          <cell r="O14">
            <v>9.5259267578125009</v>
          </cell>
          <cell r="P14">
            <v>20.811171874999999</v>
          </cell>
          <cell r="Q14">
            <v>21.824205078125001</v>
          </cell>
          <cell r="R14">
            <v>69.178612304687505</v>
          </cell>
          <cell r="T14">
            <v>0</v>
          </cell>
          <cell r="U14">
            <v>27.931566406249999</v>
          </cell>
          <cell r="V14">
            <v>27.931566406249999</v>
          </cell>
          <cell r="X14">
            <v>8.7958747863769532E-2</v>
          </cell>
          <cell r="Y14">
            <v>-0.10231706237792969</v>
          </cell>
          <cell r="Z14">
            <v>9.4209677734374999</v>
          </cell>
          <cell r="AA14">
            <v>1.2221395263671875</v>
          </cell>
          <cell r="AB14">
            <v>10.628748985290528</v>
          </cell>
          <cell r="AD14">
            <v>0.55172070312499999</v>
          </cell>
          <cell r="AE14">
            <v>1.9268304109573363E-3</v>
          </cell>
        </row>
        <row r="15">
          <cell r="C15">
            <v>44986.072916666664</v>
          </cell>
          <cell r="D15">
            <v>10.4746875</v>
          </cell>
          <cell r="E15">
            <v>9.1321064453125</v>
          </cell>
          <cell r="F15">
            <v>8.7124228515625006</v>
          </cell>
          <cell r="G15">
            <v>-0.44044122314453127</v>
          </cell>
          <cell r="H15">
            <v>0</v>
          </cell>
          <cell r="I15">
            <v>10.46216796875</v>
          </cell>
          <cell r="J15">
            <v>0</v>
          </cell>
          <cell r="K15">
            <v>10.46216796875</v>
          </cell>
          <cell r="L15">
            <v>38.781384765625006</v>
          </cell>
          <cell r="N15">
            <v>16.580751953124999</v>
          </cell>
          <cell r="O15">
            <v>9.7775185546875001</v>
          </cell>
          <cell r="P15">
            <v>20.416138671875</v>
          </cell>
          <cell r="Q15">
            <v>21.468380859374999</v>
          </cell>
          <cell r="R15">
            <v>68.242790039062498</v>
          </cell>
          <cell r="T15">
            <v>0</v>
          </cell>
          <cell r="U15">
            <v>27.955609375000002</v>
          </cell>
          <cell r="V15">
            <v>27.955609375000002</v>
          </cell>
          <cell r="X15">
            <v>8.1411376953125003E-2</v>
          </cell>
          <cell r="Y15">
            <v>-0.10498494720458984</v>
          </cell>
          <cell r="Z15">
            <v>9.3184960937499994</v>
          </cell>
          <cell r="AA15">
            <v>1.2309946289062501</v>
          </cell>
          <cell r="AB15">
            <v>10.525917152404785</v>
          </cell>
          <cell r="AD15">
            <v>0.54807318115234371</v>
          </cell>
          <cell r="AE15">
            <v>1.9974712133407594E-3</v>
          </cell>
        </row>
        <row r="16">
          <cell r="C16">
            <v>44986.083333333328</v>
          </cell>
          <cell r="D16">
            <v>10.3081044921875</v>
          </cell>
          <cell r="E16">
            <v>8.9981523437500002</v>
          </cell>
          <cell r="F16">
            <v>8.5743837890624999</v>
          </cell>
          <cell r="G16">
            <v>-0.44922091674804687</v>
          </cell>
          <cell r="H16">
            <v>0</v>
          </cell>
          <cell r="I16">
            <v>10.32179296875</v>
          </cell>
          <cell r="J16">
            <v>0</v>
          </cell>
          <cell r="K16">
            <v>10.32179296875</v>
          </cell>
          <cell r="L16">
            <v>38.202433593750001</v>
          </cell>
          <cell r="N16">
            <v>16.412109375</v>
          </cell>
          <cell r="O16">
            <v>9.6656240234375002</v>
          </cell>
          <cell r="P16">
            <v>20.07169140625</v>
          </cell>
          <cell r="Q16">
            <v>21.130414062500002</v>
          </cell>
          <cell r="R16">
            <v>67.279838867187493</v>
          </cell>
          <cell r="T16">
            <v>0</v>
          </cell>
          <cell r="U16">
            <v>27.767865234375002</v>
          </cell>
          <cell r="V16">
            <v>27.767865234375002</v>
          </cell>
          <cell r="X16">
            <v>8.9858993530273434E-2</v>
          </cell>
          <cell r="Y16">
            <v>-0.10303128814697265</v>
          </cell>
          <cell r="Z16">
            <v>9.2285478515624995</v>
          </cell>
          <cell r="AA16">
            <v>1.20476513671875</v>
          </cell>
          <cell r="AB16">
            <v>10.42014069366455</v>
          </cell>
          <cell r="AD16">
            <v>0.5468665161132813</v>
          </cell>
          <cell r="AE16">
            <v>1.9952307939529418E-3</v>
          </cell>
        </row>
        <row r="17">
          <cell r="C17">
            <v>44986.09375</v>
          </cell>
          <cell r="D17">
            <v>10.33175</v>
          </cell>
          <cell r="E17">
            <v>8.9990195312499992</v>
          </cell>
          <cell r="F17">
            <v>8.4675976562499997</v>
          </cell>
          <cell r="G17">
            <v>-0.41827252197265624</v>
          </cell>
          <cell r="H17">
            <v>0</v>
          </cell>
          <cell r="I17">
            <v>10.300594726562499</v>
          </cell>
          <cell r="J17">
            <v>0</v>
          </cell>
          <cell r="K17">
            <v>10.300594726562499</v>
          </cell>
          <cell r="L17">
            <v>38.0989619140625</v>
          </cell>
          <cell r="N17">
            <v>16.114769531250001</v>
          </cell>
          <cell r="O17">
            <v>9.7910107421875008</v>
          </cell>
          <cell r="P17">
            <v>20.139083984374999</v>
          </cell>
          <cell r="Q17">
            <v>21.290966796875001</v>
          </cell>
          <cell r="R17">
            <v>67.335831054687503</v>
          </cell>
          <cell r="T17">
            <v>0</v>
          </cell>
          <cell r="U17">
            <v>27.891375</v>
          </cell>
          <cell r="V17">
            <v>27.891375</v>
          </cell>
          <cell r="X17">
            <v>8.0286338806152338E-2</v>
          </cell>
          <cell r="Y17">
            <v>-0.10291635131835937</v>
          </cell>
          <cell r="Z17">
            <v>9.0637167968749992</v>
          </cell>
          <cell r="AA17">
            <v>1.1957420654296875</v>
          </cell>
          <cell r="AB17">
            <v>10.236828849792479</v>
          </cell>
          <cell r="AD17">
            <v>0.54381207275390619</v>
          </cell>
          <cell r="AE17">
            <v>2.0264294147491453E-3</v>
          </cell>
        </row>
        <row r="18">
          <cell r="C18">
            <v>44986.104166666664</v>
          </cell>
          <cell r="D18">
            <v>10.3517900390625</v>
          </cell>
          <cell r="E18">
            <v>9.0134472656250004</v>
          </cell>
          <cell r="F18">
            <v>8.518162109375</v>
          </cell>
          <cell r="G18">
            <v>-0.3597165832519531</v>
          </cell>
          <cell r="H18">
            <v>0</v>
          </cell>
          <cell r="I18">
            <v>10.2715966796875</v>
          </cell>
          <cell r="J18">
            <v>0</v>
          </cell>
          <cell r="K18">
            <v>10.2715966796875</v>
          </cell>
          <cell r="L18">
            <v>38.15499609375</v>
          </cell>
          <cell r="N18">
            <v>15.8862646484375</v>
          </cell>
          <cell r="O18">
            <v>9.7680390624999998</v>
          </cell>
          <cell r="P18">
            <v>20.045066406250001</v>
          </cell>
          <cell r="Q18">
            <v>21.23807421875</v>
          </cell>
          <cell r="R18">
            <v>66.937444335937499</v>
          </cell>
          <cell r="T18">
            <v>0</v>
          </cell>
          <cell r="U18">
            <v>27.796261718749999</v>
          </cell>
          <cell r="V18">
            <v>27.796261718749999</v>
          </cell>
          <cell r="X18">
            <v>7.1665626525878906E-2</v>
          </cell>
          <cell r="Y18">
            <v>-0.10277742004394531</v>
          </cell>
          <cell r="Z18">
            <v>8.9563007812500004</v>
          </cell>
          <cell r="AA18">
            <v>1.2054547119140624</v>
          </cell>
          <cell r="AB18">
            <v>10.130643699645997</v>
          </cell>
          <cell r="AD18">
            <v>0.5382693481445312</v>
          </cell>
          <cell r="AE18">
            <v>2.051082134246826E-3</v>
          </cell>
        </row>
        <row r="19">
          <cell r="C19">
            <v>44986.114583333328</v>
          </cell>
          <cell r="D19">
            <v>10.2419892578125</v>
          </cell>
          <cell r="E19">
            <v>8.9124414062500001</v>
          </cell>
          <cell r="F19">
            <v>8.4059384765625005</v>
          </cell>
          <cell r="G19">
            <v>-0.33292987060546875</v>
          </cell>
          <cell r="H19">
            <v>0</v>
          </cell>
          <cell r="I19">
            <v>10.139424804687501</v>
          </cell>
          <cell r="J19">
            <v>0</v>
          </cell>
          <cell r="K19">
            <v>10.139424804687501</v>
          </cell>
          <cell r="L19">
            <v>37.6997939453125</v>
          </cell>
          <cell r="N19">
            <v>15.844208984374999</v>
          </cell>
          <cell r="O19">
            <v>9.7221640624999992</v>
          </cell>
          <cell r="P19">
            <v>20.079550781249999</v>
          </cell>
          <cell r="Q19">
            <v>21.261720703125</v>
          </cell>
          <cell r="R19">
            <v>66.90764453125</v>
          </cell>
          <cell r="T19">
            <v>0</v>
          </cell>
          <cell r="U19">
            <v>27.800269531249999</v>
          </cell>
          <cell r="V19">
            <v>27.800269531249999</v>
          </cell>
          <cell r="X19">
            <v>7.025603485107422E-2</v>
          </cell>
          <cell r="Y19">
            <v>-0.10141862487792969</v>
          </cell>
          <cell r="Z19">
            <v>8.8374462890625001</v>
          </cell>
          <cell r="AA19">
            <v>1.1972998046875001</v>
          </cell>
          <cell r="AB19">
            <v>10.003583503723144</v>
          </cell>
          <cell r="AD19">
            <v>0.53651434326171876</v>
          </cell>
          <cell r="AE19">
            <v>1.9438648223876953E-3</v>
          </cell>
        </row>
        <row r="20">
          <cell r="C20">
            <v>44986.125</v>
          </cell>
          <cell r="D20">
            <v>10.072341796875</v>
          </cell>
          <cell r="E20">
            <v>8.7427148437500009</v>
          </cell>
          <cell r="F20">
            <v>8.5493603515625001</v>
          </cell>
          <cell r="G20">
            <v>-0.37785565185546877</v>
          </cell>
          <cell r="H20">
            <v>0</v>
          </cell>
          <cell r="I20">
            <v>9.9841376953124996</v>
          </cell>
          <cell r="J20">
            <v>0</v>
          </cell>
          <cell r="K20">
            <v>9.9841376953124996</v>
          </cell>
          <cell r="L20">
            <v>37.348554687499998</v>
          </cell>
          <cell r="N20">
            <v>15.882424804687499</v>
          </cell>
          <cell r="O20">
            <v>9.7274648437500009</v>
          </cell>
          <cell r="P20">
            <v>20.188630859374999</v>
          </cell>
          <cell r="Q20">
            <v>21.356941406250002</v>
          </cell>
          <cell r="R20">
            <v>67.155461914062499</v>
          </cell>
          <cell r="T20">
            <v>0</v>
          </cell>
          <cell r="U20">
            <v>27.405625000000001</v>
          </cell>
          <cell r="V20">
            <v>27.405625000000001</v>
          </cell>
          <cell r="X20">
            <v>7.2140869140624994E-2</v>
          </cell>
          <cell r="Y20">
            <v>-0.11411131286621094</v>
          </cell>
          <cell r="Z20">
            <v>8.7505253906250005</v>
          </cell>
          <cell r="AA20">
            <v>1.1860139160156249</v>
          </cell>
          <cell r="AB20">
            <v>9.8945688629150403</v>
          </cell>
          <cell r="AD20">
            <v>0.5361848754882812</v>
          </cell>
          <cell r="AE20">
            <v>1.8695960044860841E-3</v>
          </cell>
        </row>
        <row r="21">
          <cell r="C21">
            <v>44986.135416666664</v>
          </cell>
          <cell r="D21">
            <v>10.0559091796875</v>
          </cell>
          <cell r="E21">
            <v>8.7067509765624997</v>
          </cell>
          <cell r="F21">
            <v>8.5474111328125009</v>
          </cell>
          <cell r="G21">
            <v>-0.28500341796875001</v>
          </cell>
          <cell r="H21">
            <v>0</v>
          </cell>
          <cell r="I21">
            <v>9.8691718749999993</v>
          </cell>
          <cell r="J21">
            <v>0</v>
          </cell>
          <cell r="K21">
            <v>9.8691718749999993</v>
          </cell>
          <cell r="L21">
            <v>37.179243164062498</v>
          </cell>
          <cell r="N21">
            <v>15.5778037109375</v>
          </cell>
          <cell r="O21">
            <v>9.6434384765624994</v>
          </cell>
          <cell r="P21">
            <v>19.994619140625002</v>
          </cell>
          <cell r="Q21">
            <v>21.184999999999999</v>
          </cell>
          <cell r="R21">
            <v>66.400861328125004</v>
          </cell>
          <cell r="T21">
            <v>0</v>
          </cell>
          <cell r="U21">
            <v>27.607048828124999</v>
          </cell>
          <cell r="V21">
            <v>27.607048828124999</v>
          </cell>
          <cell r="X21">
            <v>7.720274353027344E-2</v>
          </cell>
          <cell r="Y21">
            <v>-0.10776963043212891</v>
          </cell>
          <cell r="Z21">
            <v>8.8639199218750004</v>
          </cell>
          <cell r="AA21">
            <v>1.199468505859375</v>
          </cell>
          <cell r="AB21">
            <v>10.03282154083252</v>
          </cell>
          <cell r="AD21">
            <v>0.54327056884765623</v>
          </cell>
          <cell r="AE21">
            <v>1.9080016613006591E-3</v>
          </cell>
        </row>
        <row r="22">
          <cell r="C22">
            <v>44986.145833333328</v>
          </cell>
          <cell r="D22">
            <v>10.0157900390625</v>
          </cell>
          <cell r="E22">
            <v>8.6658496093749999</v>
          </cell>
          <cell r="F22">
            <v>8.5076679687500008</v>
          </cell>
          <cell r="G22">
            <v>-0.30832327270507814</v>
          </cell>
          <cell r="H22">
            <v>0</v>
          </cell>
          <cell r="I22">
            <v>9.8441914062499993</v>
          </cell>
          <cell r="J22">
            <v>0</v>
          </cell>
          <cell r="K22">
            <v>9.8441914062499993</v>
          </cell>
          <cell r="L22">
            <v>37.0334990234375</v>
          </cell>
          <cell r="N22">
            <v>15.458909179687501</v>
          </cell>
          <cell r="O22">
            <v>9.6604824218750007</v>
          </cell>
          <cell r="P22">
            <v>17.458699218749999</v>
          </cell>
          <cell r="Q22">
            <v>18.1300390625</v>
          </cell>
          <cell r="R22">
            <v>60.7081298828125</v>
          </cell>
          <cell r="T22">
            <v>0</v>
          </cell>
          <cell r="U22">
            <v>27.423398437500001</v>
          </cell>
          <cell r="V22">
            <v>27.423398437500001</v>
          </cell>
          <cell r="X22">
            <v>7.0183883666992186E-2</v>
          </cell>
          <cell r="Y22">
            <v>-0.10147645568847656</v>
          </cell>
          <cell r="Z22">
            <v>8.8743330078124991</v>
          </cell>
          <cell r="AA22">
            <v>1.20159130859375</v>
          </cell>
          <cell r="AB22">
            <v>10.044631744384764</v>
          </cell>
          <cell r="AD22">
            <v>0.54258801269531254</v>
          </cell>
          <cell r="AE22">
            <v>1.933310866355896E-3</v>
          </cell>
        </row>
        <row r="23">
          <cell r="C23">
            <v>44986.15625</v>
          </cell>
          <cell r="D23">
            <v>10.029956054687499</v>
          </cell>
          <cell r="E23">
            <v>8.6476396484375009</v>
          </cell>
          <cell r="F23">
            <v>8.4039013671874994</v>
          </cell>
          <cell r="G23">
            <v>-0.2604262390136719</v>
          </cell>
          <cell r="H23">
            <v>0</v>
          </cell>
          <cell r="I23">
            <v>9.7880087890625003</v>
          </cell>
          <cell r="J23">
            <v>0</v>
          </cell>
          <cell r="K23">
            <v>9.7880087890625003</v>
          </cell>
          <cell r="L23">
            <v>36.869505859374996</v>
          </cell>
          <cell r="N23">
            <v>15.5002421875</v>
          </cell>
          <cell r="O23">
            <v>9.6049843750000008</v>
          </cell>
          <cell r="P23">
            <v>17.737800781250002</v>
          </cell>
          <cell r="Q23">
            <v>18.4601171875</v>
          </cell>
          <cell r="R23">
            <v>61.303144531249998</v>
          </cell>
          <cell r="T23">
            <v>0</v>
          </cell>
          <cell r="U23">
            <v>27.410875000000001</v>
          </cell>
          <cell r="V23">
            <v>27.410875000000001</v>
          </cell>
          <cell r="X23">
            <v>6.9308509826660161E-2</v>
          </cell>
          <cell r="Y23">
            <v>-0.10171720886230469</v>
          </cell>
          <cell r="Z23">
            <v>9.0233085937500004</v>
          </cell>
          <cell r="AA23">
            <v>1.21739404296875</v>
          </cell>
          <cell r="AB23">
            <v>10.208293937683106</v>
          </cell>
          <cell r="AD23">
            <v>0.54451568603515621</v>
          </cell>
          <cell r="AE23">
            <v>1.9242308139801026E-3</v>
          </cell>
        </row>
        <row r="24">
          <cell r="C24">
            <v>44986.166666666664</v>
          </cell>
          <cell r="D24">
            <v>10.02301953125</v>
          </cell>
          <cell r="E24">
            <v>8.6349521484375007</v>
          </cell>
          <cell r="F24">
            <v>8.5581533203125009</v>
          </cell>
          <cell r="G24">
            <v>-0.23543661499023438</v>
          </cell>
          <cell r="H24">
            <v>0</v>
          </cell>
          <cell r="I24">
            <v>9.7528535156250005</v>
          </cell>
          <cell r="J24">
            <v>0</v>
          </cell>
          <cell r="K24">
            <v>9.7528535156250005</v>
          </cell>
          <cell r="L24">
            <v>36.968978515625004</v>
          </cell>
          <cell r="N24">
            <v>15.559494140625</v>
          </cell>
          <cell r="O24">
            <v>9.5553681640625001</v>
          </cell>
          <cell r="P24">
            <v>18.28815625</v>
          </cell>
          <cell r="Q24">
            <v>19.098150390625001</v>
          </cell>
          <cell r="R24">
            <v>62.5011689453125</v>
          </cell>
          <cell r="T24">
            <v>0</v>
          </cell>
          <cell r="U24">
            <v>27.318453125000001</v>
          </cell>
          <cell r="V24">
            <v>27.318453125000001</v>
          </cell>
          <cell r="X24">
            <v>7.0602180480957025E-2</v>
          </cell>
          <cell r="Y24">
            <v>-0.10138331604003906</v>
          </cell>
          <cell r="Z24">
            <v>9.0635107421874999</v>
          </cell>
          <cell r="AA24">
            <v>1.2792453613281249</v>
          </cell>
          <cell r="AB24">
            <v>10.311974967956543</v>
          </cell>
          <cell r="AD24">
            <v>0.55310461425781254</v>
          </cell>
          <cell r="AE24">
            <v>1.9281799793243407E-3</v>
          </cell>
        </row>
        <row r="25">
          <cell r="C25">
            <v>44986.177083333328</v>
          </cell>
          <cell r="D25">
            <v>10.019089843750001</v>
          </cell>
          <cell r="E25">
            <v>8.5872490234375007</v>
          </cell>
          <cell r="F25">
            <v>8.5877734374999992</v>
          </cell>
          <cell r="G25">
            <v>-0.26629266357421877</v>
          </cell>
          <cell r="H25">
            <v>0</v>
          </cell>
          <cell r="I25">
            <v>9.7253710937500006</v>
          </cell>
          <cell r="J25">
            <v>0</v>
          </cell>
          <cell r="K25">
            <v>9.7253710937500006</v>
          </cell>
          <cell r="L25">
            <v>36.919483398437499</v>
          </cell>
          <cell r="N25">
            <v>15.596352539062501</v>
          </cell>
          <cell r="O25">
            <v>9.6482763671874991</v>
          </cell>
          <cell r="P25">
            <v>18.92731640625</v>
          </cell>
          <cell r="Q25">
            <v>19.958695312500002</v>
          </cell>
          <cell r="R25">
            <v>64.130640624999998</v>
          </cell>
          <cell r="T25">
            <v>0</v>
          </cell>
          <cell r="U25">
            <v>27.517994140624999</v>
          </cell>
          <cell r="V25">
            <v>27.517994140624999</v>
          </cell>
          <cell r="X25">
            <v>7.8214447021484376E-2</v>
          </cell>
          <cell r="Y25">
            <v>-0.10279577636718749</v>
          </cell>
          <cell r="Z25">
            <v>9.1850136718749997</v>
          </cell>
          <cell r="AA25">
            <v>1.306446533203125</v>
          </cell>
          <cell r="AB25">
            <v>10.466878875732423</v>
          </cell>
          <cell r="AD25">
            <v>0.56392218017578122</v>
          </cell>
          <cell r="AE25">
            <v>1.9644412994384765E-3</v>
          </cell>
        </row>
        <row r="26">
          <cell r="C26">
            <v>44986.1875</v>
          </cell>
          <cell r="D26">
            <v>10.011568359375</v>
          </cell>
          <cell r="E26">
            <v>8.5867792968749992</v>
          </cell>
          <cell r="F26">
            <v>8.6675253906250003</v>
          </cell>
          <cell r="G26">
            <v>-0.24569279479980469</v>
          </cell>
          <cell r="H26">
            <v>0</v>
          </cell>
          <cell r="I26">
            <v>9.7070830078124999</v>
          </cell>
          <cell r="J26">
            <v>0</v>
          </cell>
          <cell r="K26">
            <v>9.7070830078124999</v>
          </cell>
          <cell r="L26">
            <v>36.972956054687501</v>
          </cell>
          <cell r="N26">
            <v>15.611097656249999</v>
          </cell>
          <cell r="O26">
            <v>9.6749609374999999</v>
          </cell>
          <cell r="P26">
            <v>19.599583984374998</v>
          </cell>
          <cell r="Q26">
            <v>20.734996093749999</v>
          </cell>
          <cell r="R26">
            <v>65.620638671875</v>
          </cell>
          <cell r="T26">
            <v>0</v>
          </cell>
          <cell r="U26">
            <v>27.246382812499998</v>
          </cell>
          <cell r="V26">
            <v>27.246382812499998</v>
          </cell>
          <cell r="X26">
            <v>6.8872100830078123E-2</v>
          </cell>
          <cell r="Y26">
            <v>-0.10213565826416016</v>
          </cell>
          <cell r="Z26">
            <v>9.1217656250000001</v>
          </cell>
          <cell r="AA26">
            <v>1.30254931640625</v>
          </cell>
          <cell r="AB26">
            <v>10.391051383972167</v>
          </cell>
          <cell r="AD26">
            <v>0.56814898681640624</v>
          </cell>
          <cell r="AE26">
            <v>1.8685139417648315E-3</v>
          </cell>
        </row>
        <row r="27">
          <cell r="C27">
            <v>44986.197916666664</v>
          </cell>
          <cell r="D27">
            <v>10.099921875</v>
          </cell>
          <cell r="E27">
            <v>8.6614755859375006</v>
          </cell>
          <cell r="F27">
            <v>8.7812255859375004</v>
          </cell>
          <cell r="G27">
            <v>-0.19619796752929688</v>
          </cell>
          <cell r="H27">
            <v>0</v>
          </cell>
          <cell r="I27">
            <v>9.7499775390625008</v>
          </cell>
          <cell r="J27">
            <v>0</v>
          </cell>
          <cell r="K27">
            <v>9.7499775390625008</v>
          </cell>
          <cell r="L27">
            <v>37.2926005859375</v>
          </cell>
          <cell r="N27">
            <v>15.5452255859375</v>
          </cell>
          <cell r="O27">
            <v>9.6985576171875003</v>
          </cell>
          <cell r="P27">
            <v>20.383626953124999</v>
          </cell>
          <cell r="Q27">
            <v>21.62526171875</v>
          </cell>
          <cell r="R27">
            <v>67.25267187499999</v>
          </cell>
          <cell r="T27">
            <v>0</v>
          </cell>
          <cell r="U27">
            <v>27.016896484375</v>
          </cell>
          <cell r="V27">
            <v>27.016896484375</v>
          </cell>
          <cell r="X27">
            <v>6.9049697875976562E-2</v>
          </cell>
          <cell r="Y27">
            <v>-0.10218241119384766</v>
          </cell>
          <cell r="Z27">
            <v>9.2209628906249996</v>
          </cell>
          <cell r="AA27">
            <v>1.3115548095703125</v>
          </cell>
          <cell r="AB27">
            <v>10.499384986877441</v>
          </cell>
          <cell r="AD27">
            <v>0.57484844970703119</v>
          </cell>
          <cell r="AE27">
            <v>1.9306539297103882E-3</v>
          </cell>
        </row>
        <row r="28">
          <cell r="C28">
            <v>44986.208333333328</v>
          </cell>
          <cell r="D28">
            <v>10.177241210937501</v>
          </cell>
          <cell r="E28">
            <v>8.7093339843750002</v>
          </cell>
          <cell r="F28">
            <v>8.8301171875000009</v>
          </cell>
          <cell r="G28">
            <v>-0.17018606567382813</v>
          </cell>
          <cell r="H28">
            <v>0</v>
          </cell>
          <cell r="I28">
            <v>9.7821757812500003</v>
          </cell>
          <cell r="J28">
            <v>0</v>
          </cell>
          <cell r="K28">
            <v>9.7821757812500003</v>
          </cell>
          <cell r="L28">
            <v>37.4988681640625</v>
          </cell>
          <cell r="N28">
            <v>15.624166015625001</v>
          </cell>
          <cell r="O28">
            <v>9.7464218749999993</v>
          </cell>
          <cell r="P28">
            <v>19.66538671875</v>
          </cell>
          <cell r="Q28">
            <v>20.849404296875001</v>
          </cell>
          <cell r="R28">
            <v>65.885378906249997</v>
          </cell>
          <cell r="T28">
            <v>0</v>
          </cell>
          <cell r="U28">
            <v>27.09132421875</v>
          </cell>
          <cell r="V28">
            <v>27.09132421875</v>
          </cell>
          <cell r="X28">
            <v>8.7161849975585931E-2</v>
          </cell>
          <cell r="Y28">
            <v>-0.10031730651855469</v>
          </cell>
          <cell r="Z28">
            <v>9.2386826171875001</v>
          </cell>
          <cell r="AA28">
            <v>1.3161923828125</v>
          </cell>
          <cell r="AB28">
            <v>10.541719543457031</v>
          </cell>
          <cell r="AD28">
            <v>0.58022918701171877</v>
          </cell>
          <cell r="AE28">
            <v>1.8277837038040161E-3</v>
          </cell>
        </row>
        <row r="29">
          <cell r="C29">
            <v>44986.21875</v>
          </cell>
          <cell r="D29">
            <v>10.218711914062499</v>
          </cell>
          <cell r="E29">
            <v>8.7140732421874993</v>
          </cell>
          <cell r="F29">
            <v>8.9644482421874994</v>
          </cell>
          <cell r="G29">
            <v>-0.24814530944824217</v>
          </cell>
          <cell r="H29">
            <v>0</v>
          </cell>
          <cell r="I29">
            <v>9.8505009765625005</v>
          </cell>
          <cell r="J29">
            <v>0</v>
          </cell>
          <cell r="K29">
            <v>9.8505009765625005</v>
          </cell>
          <cell r="L29">
            <v>37.747734374999993</v>
          </cell>
          <cell r="N29">
            <v>15.636611328124999</v>
          </cell>
          <cell r="O29">
            <v>9.6436787109375004</v>
          </cell>
          <cell r="P29">
            <v>20.11150390625</v>
          </cell>
          <cell r="Q29">
            <v>21.314632812500001</v>
          </cell>
          <cell r="R29">
            <v>66.706426757812494</v>
          </cell>
          <cell r="T29">
            <v>0</v>
          </cell>
          <cell r="U29">
            <v>26.797134765625</v>
          </cell>
          <cell r="V29">
            <v>26.797134765625</v>
          </cell>
          <cell r="X29">
            <v>0.10104420471191407</v>
          </cell>
          <cell r="Y29">
            <v>-0.10095979309082032</v>
          </cell>
          <cell r="Z29">
            <v>9.2885830078125</v>
          </cell>
          <cell r="AA29">
            <v>1.3204925537109375</v>
          </cell>
          <cell r="AB29">
            <v>10.609159973144532</v>
          </cell>
          <cell r="AD29">
            <v>0.58092590332031246</v>
          </cell>
          <cell r="AE29">
            <v>1.7943187952041625E-3</v>
          </cell>
        </row>
        <row r="30">
          <cell r="C30">
            <v>44986.229166666664</v>
          </cell>
          <cell r="D30">
            <v>10.260877929687499</v>
          </cell>
          <cell r="E30">
            <v>8.7597705078124992</v>
          </cell>
          <cell r="F30">
            <v>9.0851132812500008</v>
          </cell>
          <cell r="G30">
            <v>-0.2989206237792969</v>
          </cell>
          <cell r="H30">
            <v>0</v>
          </cell>
          <cell r="I30">
            <v>9.9430947265624994</v>
          </cell>
          <cell r="J30">
            <v>0</v>
          </cell>
          <cell r="K30">
            <v>9.9430947265624994</v>
          </cell>
          <cell r="L30">
            <v>38.048856445312495</v>
          </cell>
          <cell r="N30">
            <v>15.6618662109375</v>
          </cell>
          <cell r="O30">
            <v>9.7231884765625001</v>
          </cell>
          <cell r="P30">
            <v>20.17093359375</v>
          </cell>
          <cell r="Q30">
            <v>21.442341796874999</v>
          </cell>
          <cell r="R30">
            <v>66.998330078125008</v>
          </cell>
          <cell r="T30">
            <v>0</v>
          </cell>
          <cell r="U30">
            <v>26.761376953125001</v>
          </cell>
          <cell r="V30">
            <v>26.761376953125001</v>
          </cell>
          <cell r="X30">
            <v>9.3323760986328122E-2</v>
          </cell>
          <cell r="Y30">
            <v>-0.10276203918457032</v>
          </cell>
          <cell r="Z30">
            <v>9.2400830078124994</v>
          </cell>
          <cell r="AA30">
            <v>1.318099853515625</v>
          </cell>
          <cell r="AB30">
            <v>10.548744583129881</v>
          </cell>
          <cell r="AD30">
            <v>0.59166595458984372</v>
          </cell>
          <cell r="AE30">
            <v>1.8591834306716918E-3</v>
          </cell>
        </row>
        <row r="31">
          <cell r="C31">
            <v>44986.239583333328</v>
          </cell>
          <cell r="D31">
            <v>10.4277412109375</v>
          </cell>
          <cell r="E31">
            <v>8.8118232421875007</v>
          </cell>
          <cell r="F31">
            <v>9.2407880859374991</v>
          </cell>
          <cell r="G31">
            <v>-0.14711685180664064</v>
          </cell>
          <cell r="H31">
            <v>0</v>
          </cell>
          <cell r="I31">
            <v>9.8764853515625006</v>
          </cell>
          <cell r="J31">
            <v>0</v>
          </cell>
          <cell r="K31">
            <v>9.8764853515625006</v>
          </cell>
          <cell r="L31">
            <v>38.356837890625002</v>
          </cell>
          <cell r="N31">
            <v>15.670527343750001</v>
          </cell>
          <cell r="O31">
            <v>9.5332597656250009</v>
          </cell>
          <cell r="P31">
            <v>19.881498046874999</v>
          </cell>
          <cell r="Q31">
            <v>21.179132812500001</v>
          </cell>
          <cell r="R31">
            <v>66.264417968749996</v>
          </cell>
          <cell r="T31">
            <v>0</v>
          </cell>
          <cell r="U31">
            <v>26.65342578125</v>
          </cell>
          <cell r="V31">
            <v>26.65342578125</v>
          </cell>
          <cell r="X31">
            <v>9.3260292053222657E-2</v>
          </cell>
          <cell r="Y31">
            <v>-0.10339951324462891</v>
          </cell>
          <cell r="Z31">
            <v>9.1301308593750008</v>
          </cell>
          <cell r="AA31">
            <v>1.33860546875</v>
          </cell>
          <cell r="AB31">
            <v>10.458597106933594</v>
          </cell>
          <cell r="AD31">
            <v>0.61260858154296871</v>
          </cell>
          <cell r="AE31">
            <v>1.9025503396987915E-3</v>
          </cell>
        </row>
        <row r="32">
          <cell r="C32">
            <v>44986.25</v>
          </cell>
          <cell r="D32">
            <v>10.5377880859375</v>
          </cell>
          <cell r="E32">
            <v>8.8761591796874999</v>
          </cell>
          <cell r="F32">
            <v>9.4655771484375002</v>
          </cell>
          <cell r="G32">
            <v>-7.0855873107910153E-2</v>
          </cell>
          <cell r="H32">
            <v>0</v>
          </cell>
          <cell r="I32">
            <v>9.8818691406249997</v>
          </cell>
          <cell r="J32">
            <v>0</v>
          </cell>
          <cell r="K32">
            <v>9.8818691406249997</v>
          </cell>
          <cell r="L32">
            <v>38.761393554687501</v>
          </cell>
          <cell r="N32">
            <v>15.6525166015625</v>
          </cell>
          <cell r="O32">
            <v>9.4160126953124994</v>
          </cell>
          <cell r="P32">
            <v>20.117392578124999</v>
          </cell>
          <cell r="Q32">
            <v>21.388871093750002</v>
          </cell>
          <cell r="R32">
            <v>66.574792968750003</v>
          </cell>
          <cell r="T32">
            <v>0</v>
          </cell>
          <cell r="U32">
            <v>26.530052734375001</v>
          </cell>
          <cell r="V32">
            <v>26.530052734375001</v>
          </cell>
          <cell r="X32">
            <v>9.1583526611328125E-2</v>
          </cell>
          <cell r="Y32">
            <v>-0.10124836730957031</v>
          </cell>
          <cell r="Z32">
            <v>9.1798046875000008</v>
          </cell>
          <cell r="AA32">
            <v>1.3135904541015626</v>
          </cell>
          <cell r="AB32">
            <v>10.483730300903321</v>
          </cell>
          <cell r="AD32">
            <v>0.6067453002929688</v>
          </cell>
          <cell r="AE32">
            <v>1.8525569438934326E-3</v>
          </cell>
        </row>
        <row r="33">
          <cell r="C33">
            <v>44986.260416666664</v>
          </cell>
          <cell r="D33">
            <v>11.176625</v>
          </cell>
          <cell r="E33">
            <v>9.2894970703124997</v>
          </cell>
          <cell r="F33">
            <v>10.423759765625</v>
          </cell>
          <cell r="G33">
            <v>9.8351615905761719E-2</v>
          </cell>
          <cell r="H33">
            <v>0</v>
          </cell>
          <cell r="I33">
            <v>10.199001953125</v>
          </cell>
          <cell r="J33">
            <v>0</v>
          </cell>
          <cell r="K33">
            <v>10.199001953125</v>
          </cell>
          <cell r="L33">
            <v>41.0888837890625</v>
          </cell>
          <cell r="N33">
            <v>15.896287109375001</v>
          </cell>
          <cell r="O33">
            <v>9.3806386718749994</v>
          </cell>
          <cell r="P33">
            <v>20.538599609375002</v>
          </cell>
          <cell r="Q33">
            <v>21.90401953125</v>
          </cell>
          <cell r="R33">
            <v>67.719544921874999</v>
          </cell>
          <cell r="T33">
            <v>0</v>
          </cell>
          <cell r="U33">
            <v>26.496046875000001</v>
          </cell>
          <cell r="V33">
            <v>26.496046875000001</v>
          </cell>
          <cell r="X33">
            <v>9.9990615844726558E-2</v>
          </cell>
          <cell r="Y33">
            <v>-9.9624702453613281E-2</v>
          </cell>
          <cell r="Z33">
            <v>9.3523779296874991</v>
          </cell>
          <cell r="AA33">
            <v>1.2852188720703126</v>
          </cell>
          <cell r="AB33">
            <v>10.637962715148925</v>
          </cell>
          <cell r="AD33">
            <v>0.59521862792968749</v>
          </cell>
          <cell r="AE33">
            <v>2.0224463939666746E-3</v>
          </cell>
        </row>
        <row r="34">
          <cell r="C34">
            <v>44986.270833333328</v>
          </cell>
          <cell r="D34">
            <v>11.4016103515625</v>
          </cell>
          <cell r="E34">
            <v>9.3825771484375</v>
          </cell>
          <cell r="F34">
            <v>11.0155400390625</v>
          </cell>
          <cell r="G34">
            <v>0.12668823242187499</v>
          </cell>
          <cell r="H34">
            <v>0</v>
          </cell>
          <cell r="I34">
            <v>10.272728515624999</v>
          </cell>
          <cell r="J34">
            <v>0</v>
          </cell>
          <cell r="K34">
            <v>10.272728515624999</v>
          </cell>
          <cell r="L34">
            <v>42.072456054687493</v>
          </cell>
          <cell r="N34">
            <v>15.8924658203125</v>
          </cell>
          <cell r="O34">
            <v>9.3838076171875002</v>
          </cell>
          <cell r="P34">
            <v>17.249277343749998</v>
          </cell>
          <cell r="Q34">
            <v>17.922630859375001</v>
          </cell>
          <cell r="R34">
            <v>60.448181640625009</v>
          </cell>
          <cell r="T34">
            <v>0</v>
          </cell>
          <cell r="U34">
            <v>26.03873046875</v>
          </cell>
          <cell r="V34">
            <v>26.03873046875</v>
          </cell>
          <cell r="X34">
            <v>7.6245351562500003</v>
          </cell>
          <cell r="Y34">
            <v>0.25830722045898435</v>
          </cell>
          <cell r="Z34">
            <v>9.6266767578125005</v>
          </cell>
          <cell r="AA34">
            <v>1.3343863525390625</v>
          </cell>
          <cell r="AB34">
            <v>18.84390548706055</v>
          </cell>
          <cell r="AD34">
            <v>0.53236370849609371</v>
          </cell>
          <cell r="AE34">
            <v>1.9826366901397707E-3</v>
          </cell>
        </row>
        <row r="35">
          <cell r="C35">
            <v>44986.28125</v>
          </cell>
          <cell r="D35">
            <v>9.1761601562500008</v>
          </cell>
          <cell r="E35">
            <v>7.1250488281250002</v>
          </cell>
          <cell r="F35">
            <v>11.920545898437499</v>
          </cell>
          <cell r="G35">
            <v>5.6419521484375004</v>
          </cell>
          <cell r="H35">
            <v>0</v>
          </cell>
          <cell r="I35">
            <v>3.0827536621093752</v>
          </cell>
          <cell r="J35">
            <v>0</v>
          </cell>
          <cell r="K35">
            <v>3.0827536621093752</v>
          </cell>
          <cell r="L35">
            <v>31.304508544921873</v>
          </cell>
          <cell r="N35">
            <v>16.11619140625</v>
          </cell>
          <cell r="O35">
            <v>9.6199189453125005</v>
          </cell>
          <cell r="P35">
            <v>12.40690234375</v>
          </cell>
          <cell r="Q35">
            <v>12.0699375</v>
          </cell>
          <cell r="R35">
            <v>50.212950195312501</v>
          </cell>
          <cell r="T35">
            <v>0</v>
          </cell>
          <cell r="U35">
            <v>25.705810546875</v>
          </cell>
          <cell r="V35">
            <v>25.705810546875</v>
          </cell>
          <cell r="X35">
            <v>17.9803984375</v>
          </cell>
          <cell r="Y35">
            <v>13.370890624999999</v>
          </cell>
          <cell r="Z35">
            <v>9.7730625</v>
          </cell>
          <cell r="AA35">
            <v>1.4130242919921876</v>
          </cell>
          <cell r="AB35">
            <v>42.53737585449219</v>
          </cell>
          <cell r="AD35">
            <v>0.49560928344726563</v>
          </cell>
          <cell r="AE35">
            <v>2.0732970237731935E-3</v>
          </cell>
        </row>
        <row r="36">
          <cell r="C36">
            <v>44986.291666666664</v>
          </cell>
          <cell r="D36">
            <v>8.6009990234375007</v>
          </cell>
          <cell r="E36">
            <v>6.4373681640624998</v>
          </cell>
          <cell r="F36">
            <v>12.679152343749999</v>
          </cell>
          <cell r="G36">
            <v>7.5663554687500003</v>
          </cell>
          <cell r="H36">
            <v>0</v>
          </cell>
          <cell r="I36">
            <v>0.68028692626953124</v>
          </cell>
          <cell r="J36">
            <v>0</v>
          </cell>
          <cell r="K36">
            <v>0.68028692626953124</v>
          </cell>
          <cell r="L36">
            <v>28.397806457519529</v>
          </cell>
          <cell r="N36">
            <v>16.323150390624999</v>
          </cell>
          <cell r="O36">
            <v>9.8772197265624992</v>
          </cell>
          <cell r="P36">
            <v>12.66186328125</v>
          </cell>
          <cell r="Q36">
            <v>12.335744140625</v>
          </cell>
          <cell r="R36">
            <v>51.197977539062492</v>
          </cell>
          <cell r="T36">
            <v>0</v>
          </cell>
          <cell r="U36">
            <v>25.863269531250001</v>
          </cell>
          <cell r="V36">
            <v>25.863269531250001</v>
          </cell>
          <cell r="X36">
            <v>17.981472656249998</v>
          </cell>
          <cell r="Y36">
            <v>18.022853515624998</v>
          </cell>
          <cell r="Z36">
            <v>10.226541015624999</v>
          </cell>
          <cell r="AA36">
            <v>1.4091251220703125</v>
          </cell>
          <cell r="AB36">
            <v>47.63999230957031</v>
          </cell>
          <cell r="AD36">
            <v>0.49730413818359376</v>
          </cell>
          <cell r="AE36">
            <v>2.160187005996704E-3</v>
          </cell>
        </row>
        <row r="37">
          <cell r="C37">
            <v>44986.302083333328</v>
          </cell>
          <cell r="D37">
            <v>9.0498076171875006</v>
          </cell>
          <cell r="E37">
            <v>6.8031254882812497</v>
          </cell>
          <cell r="F37">
            <v>13.660904296875</v>
          </cell>
          <cell r="G37">
            <v>7.5777070312500001</v>
          </cell>
          <cell r="H37">
            <v>0</v>
          </cell>
          <cell r="I37">
            <v>1.0640948486328126</v>
          </cell>
          <cell r="J37">
            <v>0</v>
          </cell>
          <cell r="K37">
            <v>1.0640948486328126</v>
          </cell>
          <cell r="L37">
            <v>30.577932250976563</v>
          </cell>
          <cell r="N37">
            <v>16.477091796875001</v>
          </cell>
          <cell r="O37">
            <v>9.9178789062499995</v>
          </cell>
          <cell r="P37">
            <v>13.240561523437499</v>
          </cell>
          <cell r="Q37">
            <v>12.992044921874999</v>
          </cell>
          <cell r="R37">
            <v>52.627577148437503</v>
          </cell>
          <cell r="T37">
            <v>0</v>
          </cell>
          <cell r="U37">
            <v>26.275517578125001</v>
          </cell>
          <cell r="V37">
            <v>26.275517578125001</v>
          </cell>
          <cell r="X37">
            <v>17.98606640625</v>
          </cell>
          <cell r="Y37">
            <v>18.027765625000001</v>
          </cell>
          <cell r="Z37">
            <v>10.799801757812499</v>
          </cell>
          <cell r="AA37">
            <v>1.4870515136718749</v>
          </cell>
          <cell r="AB37">
            <v>48.300685302734379</v>
          </cell>
          <cell r="AD37">
            <v>0.49577661132812501</v>
          </cell>
          <cell r="AE37">
            <v>2.1208980083465578E-3</v>
          </cell>
        </row>
        <row r="38">
          <cell r="C38">
            <v>44986.3125</v>
          </cell>
          <cell r="D38">
            <v>9.3907636718749998</v>
          </cell>
          <cell r="E38">
            <v>7.117845703125</v>
          </cell>
          <cell r="F38">
            <v>14.182874023437501</v>
          </cell>
          <cell r="G38">
            <v>7.6050444335937497</v>
          </cell>
          <cell r="H38">
            <v>0</v>
          </cell>
          <cell r="I38">
            <v>1.3902634277343751</v>
          </cell>
          <cell r="J38">
            <v>0</v>
          </cell>
          <cell r="K38">
            <v>1.3902634277343751</v>
          </cell>
          <cell r="L38">
            <v>32.08174682617188</v>
          </cell>
          <cell r="N38">
            <v>16.942513671874998</v>
          </cell>
          <cell r="O38">
            <v>10.067083007812499</v>
          </cell>
          <cell r="P38">
            <v>14.0910029296875</v>
          </cell>
          <cell r="Q38">
            <v>13.823158203125001</v>
          </cell>
          <cell r="R38">
            <v>54.9237578125</v>
          </cell>
          <cell r="T38">
            <v>0</v>
          </cell>
          <cell r="U38">
            <v>26.928728515625</v>
          </cell>
          <cell r="V38">
            <v>26.928728515625</v>
          </cell>
          <cell r="X38">
            <v>17.985156249999999</v>
          </cell>
          <cell r="Y38">
            <v>18.0268359375</v>
          </cell>
          <cell r="Z38">
            <v>11.566804687499999</v>
          </cell>
          <cell r="AA38">
            <v>1.4630200195312499</v>
          </cell>
          <cell r="AB38">
            <v>49.041816894531244</v>
          </cell>
          <cell r="AD38">
            <v>0.50816815185546871</v>
          </cell>
          <cell r="AE38">
            <v>2.0332047939300539E-3</v>
          </cell>
        </row>
        <row r="39">
          <cell r="C39">
            <v>44986.322916666664</v>
          </cell>
          <cell r="D39">
            <v>9.8497177734375008</v>
          </cell>
          <cell r="E39">
            <v>7.4215556640624998</v>
          </cell>
          <cell r="F39">
            <v>14.4939404296875</v>
          </cell>
          <cell r="G39">
            <v>7.7235166015625003</v>
          </cell>
          <cell r="H39">
            <v>0</v>
          </cell>
          <cell r="I39">
            <v>1.6335867919921876</v>
          </cell>
          <cell r="J39">
            <v>0</v>
          </cell>
          <cell r="K39">
            <v>1.6335867919921876</v>
          </cell>
          <cell r="L39">
            <v>33.398800659179685</v>
          </cell>
          <cell r="N39">
            <v>17.384664062500001</v>
          </cell>
          <cell r="O39">
            <v>10.0979345703125</v>
          </cell>
          <cell r="P39">
            <v>14.33225</v>
          </cell>
          <cell r="Q39">
            <v>14.0149462890625</v>
          </cell>
          <cell r="R39">
            <v>55.829794921874999</v>
          </cell>
          <cell r="T39">
            <v>0</v>
          </cell>
          <cell r="U39">
            <v>27.290048828124998</v>
          </cell>
          <cell r="V39">
            <v>27.290048828124998</v>
          </cell>
          <cell r="X39">
            <v>17.986148437499999</v>
          </cell>
          <cell r="Y39">
            <v>18.026363281249999</v>
          </cell>
          <cell r="Z39">
            <v>11.871986328125001</v>
          </cell>
          <cell r="AA39">
            <v>1.5181175537109375</v>
          </cell>
          <cell r="AB39">
            <v>49.402615600585932</v>
          </cell>
          <cell r="AD39">
            <v>0.4980279235839844</v>
          </cell>
          <cell r="AE39">
            <v>2.199702501296997E-3</v>
          </cell>
        </row>
        <row r="40">
          <cell r="C40">
            <v>44986.333333333328</v>
          </cell>
          <cell r="D40">
            <v>10.0387998046875</v>
          </cell>
          <cell r="E40">
            <v>7.5815903320312499</v>
          </cell>
          <cell r="F40">
            <v>14.272752929687501</v>
          </cell>
          <cell r="G40">
            <v>7.8488374023437499</v>
          </cell>
          <cell r="H40">
            <v>0</v>
          </cell>
          <cell r="I40">
            <v>1.7091430664062499</v>
          </cell>
          <cell r="J40">
            <v>0</v>
          </cell>
          <cell r="K40">
            <v>1.7091430664062499</v>
          </cell>
          <cell r="L40">
            <v>33.602286132812495</v>
          </cell>
          <cell r="N40">
            <v>18.056480468749999</v>
          </cell>
          <cell r="O40">
            <v>10.301066406249999</v>
          </cell>
          <cell r="P40">
            <v>14.577435546875</v>
          </cell>
          <cell r="Q40">
            <v>14.2396845703125</v>
          </cell>
          <cell r="R40">
            <v>57.174666992187497</v>
          </cell>
          <cell r="T40">
            <v>0</v>
          </cell>
          <cell r="U40">
            <v>28.054181640625</v>
          </cell>
          <cell r="V40">
            <v>28.054181640625</v>
          </cell>
          <cell r="X40">
            <v>17.986560546875001</v>
          </cell>
          <cell r="Y40">
            <v>18.023955078124999</v>
          </cell>
          <cell r="Z40">
            <v>12.057780273437499</v>
          </cell>
          <cell r="AA40">
            <v>1.5689890136718749</v>
          </cell>
          <cell r="AB40">
            <v>49.637284912109372</v>
          </cell>
          <cell r="AD40">
            <v>0.46924261474609374</v>
          </cell>
          <cell r="AE40">
            <v>2.492494583129883E-3</v>
          </cell>
        </row>
        <row r="41">
          <cell r="C41">
            <v>44986.34375</v>
          </cell>
          <cell r="D41">
            <v>10.410484374999999</v>
          </cell>
          <cell r="E41">
            <v>7.9535512695312498</v>
          </cell>
          <cell r="F41">
            <v>14.7902998046875</v>
          </cell>
          <cell r="G41">
            <v>7.78488134765625</v>
          </cell>
          <cell r="H41">
            <v>0</v>
          </cell>
          <cell r="I41">
            <v>2.1668039550781248</v>
          </cell>
          <cell r="J41">
            <v>0</v>
          </cell>
          <cell r="K41">
            <v>2.1668039550781248</v>
          </cell>
          <cell r="L41">
            <v>35.321139404296872</v>
          </cell>
          <cell r="N41">
            <v>18.481755859374999</v>
          </cell>
          <cell r="O41">
            <v>10.376871093749999</v>
          </cell>
          <cell r="P41">
            <v>14.782130859375</v>
          </cell>
          <cell r="Q41">
            <v>14.3131025390625</v>
          </cell>
          <cell r="R41">
            <v>57.953860351562497</v>
          </cell>
          <cell r="T41">
            <v>0</v>
          </cell>
          <cell r="U41">
            <v>29.274812499999999</v>
          </cell>
          <cell r="V41">
            <v>29.274812499999999</v>
          </cell>
          <cell r="X41">
            <v>17.987132812500001</v>
          </cell>
          <cell r="Y41">
            <v>18.016783203125001</v>
          </cell>
          <cell r="Z41">
            <v>12.27979296875</v>
          </cell>
          <cell r="AA41">
            <v>1.6417049560546875</v>
          </cell>
          <cell r="AB41">
            <v>49.925413940429692</v>
          </cell>
          <cell r="AD41">
            <v>0.47697601318359373</v>
          </cell>
          <cell r="AE41">
            <v>3.4644112586975097E-3</v>
          </cell>
        </row>
        <row r="42">
          <cell r="C42">
            <v>44986.354166666664</v>
          </cell>
          <cell r="D42">
            <v>10.8985439453125</v>
          </cell>
          <cell r="E42">
            <v>8.4403085937500002</v>
          </cell>
          <cell r="F42">
            <v>15.051357421875</v>
          </cell>
          <cell r="G42">
            <v>7.8325395507812496</v>
          </cell>
          <cell r="H42">
            <v>0</v>
          </cell>
          <cell r="I42">
            <v>2.6658754882812499</v>
          </cell>
          <cell r="J42">
            <v>0</v>
          </cell>
          <cell r="K42">
            <v>2.6658754882812499</v>
          </cell>
          <cell r="L42">
            <v>37.056085449218756</v>
          </cell>
          <cell r="N42">
            <v>18.951693359375</v>
          </cell>
          <cell r="O42">
            <v>10.842090820312499</v>
          </cell>
          <cell r="P42">
            <v>15.2869501953125</v>
          </cell>
          <cell r="Q42">
            <v>14.720524414062499</v>
          </cell>
          <cell r="R42">
            <v>59.801258789062501</v>
          </cell>
          <cell r="T42">
            <v>0</v>
          </cell>
          <cell r="U42">
            <v>30.470158203124999</v>
          </cell>
          <cell r="V42">
            <v>30.470158203124999</v>
          </cell>
          <cell r="X42">
            <v>17.988673828124998</v>
          </cell>
          <cell r="Y42">
            <v>18.01069140625</v>
          </cell>
          <cell r="Z42">
            <v>12.779825195312499</v>
          </cell>
          <cell r="AA42">
            <v>1.6613419189453125</v>
          </cell>
          <cell r="AB42">
            <v>50.440532348632807</v>
          </cell>
          <cell r="AD42">
            <v>0.46448132324218749</v>
          </cell>
          <cell r="AE42">
            <v>3.9227623939514164E-3</v>
          </cell>
        </row>
        <row r="43">
          <cell r="C43">
            <v>44986.364583333328</v>
          </cell>
          <cell r="D43">
            <v>11.206591796874999</v>
          </cell>
          <cell r="E43">
            <v>8.7029521484375003</v>
          </cell>
          <cell r="F43">
            <v>15.12744140625</v>
          </cell>
          <cell r="G43">
            <v>7.7739946289062498</v>
          </cell>
          <cell r="H43">
            <v>0</v>
          </cell>
          <cell r="I43">
            <v>3.0011557617187501</v>
          </cell>
          <cell r="J43">
            <v>0</v>
          </cell>
          <cell r="K43">
            <v>3.0011557617187501</v>
          </cell>
          <cell r="L43">
            <v>38.038141113281249</v>
          </cell>
          <cell r="N43">
            <v>19.365902343750001</v>
          </cell>
          <cell r="O43">
            <v>10.7280009765625</v>
          </cell>
          <cell r="P43">
            <v>15.5830419921875</v>
          </cell>
          <cell r="Q43">
            <v>14.7175400390625</v>
          </cell>
          <cell r="R43">
            <v>60.394485351562494</v>
          </cell>
          <cell r="T43">
            <v>0</v>
          </cell>
          <cell r="U43">
            <v>31.125511718750001</v>
          </cell>
          <cell r="V43">
            <v>31.125511718750001</v>
          </cell>
          <cell r="X43">
            <v>17.984630859374999</v>
          </cell>
          <cell r="Y43">
            <v>18.004408203124999</v>
          </cell>
          <cell r="Z43">
            <v>12.925962890625</v>
          </cell>
          <cell r="AA43">
            <v>1.6822725830078125</v>
          </cell>
          <cell r="AB43">
            <v>50.597274536132815</v>
          </cell>
          <cell r="AD43">
            <v>0.46252511596679685</v>
          </cell>
          <cell r="AE43">
            <v>4.0333561897277831E-3</v>
          </cell>
        </row>
        <row r="44">
          <cell r="C44">
            <v>44986.375</v>
          </cell>
          <cell r="D44">
            <v>11.495890624999999</v>
          </cell>
          <cell r="E44">
            <v>8.9519912109374999</v>
          </cell>
          <cell r="F44">
            <v>14.679813476562501</v>
          </cell>
          <cell r="G44">
            <v>7.7355893554687496</v>
          </cell>
          <cell r="H44">
            <v>0</v>
          </cell>
          <cell r="I44">
            <v>3.3178994140625</v>
          </cell>
          <cell r="J44">
            <v>0</v>
          </cell>
          <cell r="K44">
            <v>3.3178994140625</v>
          </cell>
          <cell r="L44">
            <v>38.445594726562497</v>
          </cell>
          <cell r="N44">
            <v>19.870083984375</v>
          </cell>
          <cell r="O44">
            <v>10.48578125</v>
          </cell>
          <cell r="P44">
            <v>14.8121796875</v>
          </cell>
          <cell r="Q44">
            <v>13.612308593750001</v>
          </cell>
          <cell r="R44">
            <v>58.780353515625002</v>
          </cell>
          <cell r="T44">
            <v>0</v>
          </cell>
          <cell r="U44">
            <v>31.4217890625</v>
          </cell>
          <cell r="V44">
            <v>31.4217890625</v>
          </cell>
          <cell r="X44">
            <v>17.985121093749999</v>
          </cell>
          <cell r="Y44">
            <v>17.999001953124999</v>
          </cell>
          <cell r="Z44">
            <v>13.166029296874999</v>
          </cell>
          <cell r="AA44">
            <v>1.6941444091796876</v>
          </cell>
          <cell r="AB44">
            <v>50.844296752929679</v>
          </cell>
          <cell r="AD44">
            <v>0.46483129882812502</v>
          </cell>
          <cell r="AE44">
            <v>4.1481075286865232E-3</v>
          </cell>
        </row>
        <row r="45">
          <cell r="C45">
            <v>44986.385416666664</v>
          </cell>
          <cell r="D45">
            <v>11.849109374999999</v>
          </cell>
          <cell r="E45">
            <v>9.2551386718750006</v>
          </cell>
          <cell r="F45">
            <v>15.162924804687499</v>
          </cell>
          <cell r="G45">
            <v>7.6455029296874999</v>
          </cell>
          <cell r="H45">
            <v>0</v>
          </cell>
          <cell r="I45">
            <v>3.7244873046875</v>
          </cell>
          <cell r="J45">
            <v>0</v>
          </cell>
          <cell r="K45">
            <v>3.7244873046875</v>
          </cell>
          <cell r="L45">
            <v>39.991660156249999</v>
          </cell>
          <cell r="N45">
            <v>20.090207031249999</v>
          </cell>
          <cell r="O45">
            <v>10.371481445312501</v>
          </cell>
          <cell r="P45">
            <v>15.054140625</v>
          </cell>
          <cell r="Q45">
            <v>13.738077148437499</v>
          </cell>
          <cell r="R45">
            <v>59.25390625</v>
          </cell>
          <cell r="T45">
            <v>0</v>
          </cell>
          <cell r="U45">
            <v>32.0011875</v>
          </cell>
          <cell r="V45">
            <v>32.0011875</v>
          </cell>
          <cell r="X45">
            <v>17.983923828125</v>
          </cell>
          <cell r="Y45">
            <v>17.990701171874999</v>
          </cell>
          <cell r="Z45">
            <v>13.148538085937499</v>
          </cell>
          <cell r="AA45">
            <v>1.773923583984375</v>
          </cell>
          <cell r="AB45">
            <v>50.897086669921883</v>
          </cell>
          <cell r="AD45">
            <v>0.46221768188476564</v>
          </cell>
          <cell r="AE45">
            <v>4.4114274978637692E-3</v>
          </cell>
        </row>
        <row r="46">
          <cell r="C46">
            <v>44986.395833333328</v>
          </cell>
          <cell r="D46">
            <v>11.923541015625</v>
          </cell>
          <cell r="E46">
            <v>9.3912187500000002</v>
          </cell>
          <cell r="F46">
            <v>15.297411132812501</v>
          </cell>
          <cell r="G46">
            <v>7.6028916015624999</v>
          </cell>
          <cell r="H46">
            <v>0</v>
          </cell>
          <cell r="I46">
            <v>3.9057165527343751</v>
          </cell>
          <cell r="J46">
            <v>0</v>
          </cell>
          <cell r="K46">
            <v>3.9057165527343751</v>
          </cell>
          <cell r="L46">
            <v>40.517887451171873</v>
          </cell>
          <cell r="N46">
            <v>19.842625000000002</v>
          </cell>
          <cell r="O46">
            <v>10.275683593749999</v>
          </cell>
          <cell r="P46">
            <v>15.054640624999999</v>
          </cell>
          <cell r="Q46">
            <v>13.7376884765625</v>
          </cell>
          <cell r="R46">
            <v>58.910637695312502</v>
          </cell>
          <cell r="T46">
            <v>0</v>
          </cell>
          <cell r="U46">
            <v>32.578650390625</v>
          </cell>
          <cell r="V46">
            <v>32.578650390625</v>
          </cell>
          <cell r="X46">
            <v>17.9831171875</v>
          </cell>
          <cell r="Y46">
            <v>17.984873046874998</v>
          </cell>
          <cell r="Z46">
            <v>13.25984375</v>
          </cell>
          <cell r="AA46">
            <v>1.7923730468750001</v>
          </cell>
          <cell r="AB46">
            <v>51.020207031249996</v>
          </cell>
          <cell r="AD46">
            <v>0.45839114379882812</v>
          </cell>
          <cell r="AE46">
            <v>4.3071136474609377E-3</v>
          </cell>
        </row>
        <row r="47">
          <cell r="C47">
            <v>44986.40625</v>
          </cell>
          <cell r="D47">
            <v>12.17597265625</v>
          </cell>
          <cell r="E47">
            <v>9.6219277343749994</v>
          </cell>
          <cell r="F47">
            <v>15.2569296875</v>
          </cell>
          <cell r="G47">
            <v>7.3615356445312496</v>
          </cell>
          <cell r="H47">
            <v>0</v>
          </cell>
          <cell r="I47">
            <v>4.3670585937500004</v>
          </cell>
          <cell r="J47">
            <v>0</v>
          </cell>
          <cell r="K47">
            <v>4.3670585937500004</v>
          </cell>
          <cell r="L47">
            <v>41.421888671874996</v>
          </cell>
          <cell r="N47">
            <v>20.67280078125</v>
          </cell>
          <cell r="O47">
            <v>10.342861328125</v>
          </cell>
          <cell r="P47">
            <v>15.45834765625</v>
          </cell>
          <cell r="Q47">
            <v>14.006928710937499</v>
          </cell>
          <cell r="R47">
            <v>60.4809384765625</v>
          </cell>
          <cell r="T47">
            <v>0</v>
          </cell>
          <cell r="U47">
            <v>32.411703125000003</v>
          </cell>
          <cell r="V47">
            <v>32.411703125000003</v>
          </cell>
          <cell r="X47">
            <v>17.983697265625</v>
          </cell>
          <cell r="Y47">
            <v>17.985031249999999</v>
          </cell>
          <cell r="Z47">
            <v>13.347626953124999</v>
          </cell>
          <cell r="AA47">
            <v>1.7868441162109374</v>
          </cell>
          <cell r="AB47">
            <v>51.10319958496094</v>
          </cell>
          <cell r="AD47">
            <v>0.46382553100585938</v>
          </cell>
          <cell r="AE47">
            <v>4.3984565734863281E-3</v>
          </cell>
        </row>
        <row r="48">
          <cell r="C48">
            <v>44986.416666666664</v>
          </cell>
          <cell r="D48">
            <v>12.5986953125</v>
          </cell>
          <cell r="E48">
            <v>9.9598730468749999</v>
          </cell>
          <cell r="F48">
            <v>15.3837958984375</v>
          </cell>
          <cell r="G48">
            <v>7.4191821289062503</v>
          </cell>
          <cell r="H48">
            <v>0</v>
          </cell>
          <cell r="I48">
            <v>4.7011279296874999</v>
          </cell>
          <cell r="J48">
            <v>0</v>
          </cell>
          <cell r="K48">
            <v>4.7011279296874999</v>
          </cell>
          <cell r="L48">
            <v>42.643492187500001</v>
          </cell>
          <cell r="N48">
            <v>20.83147265625</v>
          </cell>
          <cell r="O48">
            <v>10.859208984375</v>
          </cell>
          <cell r="P48">
            <v>15.608453125</v>
          </cell>
          <cell r="Q48">
            <v>14.0605654296875</v>
          </cell>
          <cell r="R48">
            <v>61.359700195312499</v>
          </cell>
          <cell r="T48">
            <v>0</v>
          </cell>
          <cell r="U48">
            <v>32.439974609375</v>
          </cell>
          <cell r="V48">
            <v>32.439974609375</v>
          </cell>
          <cell r="X48">
            <v>17.981017578125002</v>
          </cell>
          <cell r="Y48">
            <v>17.984408203125</v>
          </cell>
          <cell r="Z48">
            <v>13.763684570312501</v>
          </cell>
          <cell r="AA48">
            <v>1.8959443359374999</v>
          </cell>
          <cell r="AB48">
            <v>51.625054687500004</v>
          </cell>
          <cell r="AD48">
            <v>0.45042944335937501</v>
          </cell>
          <cell r="AE48">
            <v>4.7284197807312012E-3</v>
          </cell>
        </row>
        <row r="49">
          <cell r="C49">
            <v>44986.427083333328</v>
          </cell>
          <cell r="D49">
            <v>12.732234375000001</v>
          </cell>
          <cell r="E49">
            <v>10.090675781250001</v>
          </cell>
          <cell r="F49">
            <v>15.810271484375001</v>
          </cell>
          <cell r="G49">
            <v>7.4093745117187497</v>
          </cell>
          <cell r="H49">
            <v>0</v>
          </cell>
          <cell r="I49">
            <v>4.849064453125</v>
          </cell>
          <cell r="J49">
            <v>0</v>
          </cell>
          <cell r="K49">
            <v>4.849064453125</v>
          </cell>
          <cell r="L49">
            <v>43.48224609375</v>
          </cell>
          <cell r="N49">
            <v>20.87091796875</v>
          </cell>
          <cell r="O49">
            <v>11.011515624999999</v>
          </cell>
          <cell r="P49">
            <v>15.9003046875</v>
          </cell>
          <cell r="Q49">
            <v>14.317609375</v>
          </cell>
          <cell r="R49">
            <v>62.100347656250008</v>
          </cell>
          <cell r="T49">
            <v>0</v>
          </cell>
          <cell r="U49">
            <v>32.479550781249998</v>
          </cell>
          <cell r="V49">
            <v>32.479550781249998</v>
          </cell>
          <cell r="X49">
            <v>17.980755859375002</v>
          </cell>
          <cell r="Y49">
            <v>17.982119140624999</v>
          </cell>
          <cell r="Z49">
            <v>13.875107421875001</v>
          </cell>
          <cell r="AA49">
            <v>1.9401341552734375</v>
          </cell>
          <cell r="AB49">
            <v>51.778116577148438</v>
          </cell>
          <cell r="AD49">
            <v>0.44953607177734373</v>
          </cell>
          <cell r="AE49">
            <v>4.749709606170654E-3</v>
          </cell>
        </row>
        <row r="50">
          <cell r="C50">
            <v>44986.4375</v>
          </cell>
          <cell r="D50">
            <v>12.958971679687499</v>
          </cell>
          <cell r="E50">
            <v>10.2990478515625</v>
          </cell>
          <cell r="F50">
            <v>15.818986328125</v>
          </cell>
          <cell r="G50">
            <v>7.3527260742187499</v>
          </cell>
          <cell r="H50">
            <v>0</v>
          </cell>
          <cell r="I50">
            <v>5.1333999023437498</v>
          </cell>
          <cell r="J50">
            <v>0</v>
          </cell>
          <cell r="K50">
            <v>5.1333999023437498</v>
          </cell>
          <cell r="L50">
            <v>44.210405761718746</v>
          </cell>
          <cell r="N50">
            <v>20.642343749999998</v>
          </cell>
          <cell r="O50">
            <v>11.2050419921875</v>
          </cell>
          <cell r="P50">
            <v>17.009982421875002</v>
          </cell>
          <cell r="Q50">
            <v>15.603242187499999</v>
          </cell>
          <cell r="R50">
            <v>64.460610351562494</v>
          </cell>
          <cell r="T50">
            <v>0</v>
          </cell>
          <cell r="U50">
            <v>32.368923828124998</v>
          </cell>
          <cell r="V50">
            <v>32.368923828124998</v>
          </cell>
          <cell r="X50">
            <v>17.981248046874999</v>
          </cell>
          <cell r="Y50">
            <v>17.979767578124999</v>
          </cell>
          <cell r="Z50">
            <v>14.0755859375</v>
          </cell>
          <cell r="AA50">
            <v>1.9770621337890626</v>
          </cell>
          <cell r="AB50">
            <v>52.013663696289065</v>
          </cell>
          <cell r="AD50">
            <v>0.44437506103515623</v>
          </cell>
          <cell r="AE50">
            <v>4.8314919471740721E-3</v>
          </cell>
        </row>
        <row r="51">
          <cell r="C51">
            <v>44986.447916666664</v>
          </cell>
          <cell r="D51">
            <v>13.264836914062499</v>
          </cell>
          <cell r="E51">
            <v>10.5702431640625</v>
          </cell>
          <cell r="F51">
            <v>15.998973632812501</v>
          </cell>
          <cell r="G51">
            <v>7.3181972656249998</v>
          </cell>
          <cell r="H51">
            <v>0</v>
          </cell>
          <cell r="I51">
            <v>5.4623471679687503</v>
          </cell>
          <cell r="J51">
            <v>0</v>
          </cell>
          <cell r="K51">
            <v>5.4623471679687503</v>
          </cell>
          <cell r="L51">
            <v>45.296400878906248</v>
          </cell>
          <cell r="N51">
            <v>20.569771484375</v>
          </cell>
          <cell r="O51">
            <v>11.3681904296875</v>
          </cell>
          <cell r="P51">
            <v>17.531443359375</v>
          </cell>
          <cell r="Q51">
            <v>16.138021484374999</v>
          </cell>
          <cell r="R51">
            <v>65.607426757812505</v>
          </cell>
          <cell r="T51">
            <v>0</v>
          </cell>
          <cell r="U51">
            <v>32.201164062499998</v>
          </cell>
          <cell r="V51">
            <v>32.201164062499998</v>
          </cell>
          <cell r="X51">
            <v>17.981912109374999</v>
          </cell>
          <cell r="Y51">
            <v>17.979624999999999</v>
          </cell>
          <cell r="Z51">
            <v>14.2644482421875</v>
          </cell>
          <cell r="AA51">
            <v>1.9924029541015624</v>
          </cell>
          <cell r="AB51">
            <v>52.218388305664064</v>
          </cell>
          <cell r="AD51">
            <v>0.44913037109374998</v>
          </cell>
          <cell r="AE51">
            <v>4.985783576965332E-3</v>
          </cell>
        </row>
        <row r="52">
          <cell r="C52">
            <v>44986.458333333328</v>
          </cell>
          <cell r="D52">
            <v>13.2762177734375</v>
          </cell>
          <cell r="E52">
            <v>10.6520888671875</v>
          </cell>
          <cell r="F52">
            <v>15.8666357421875</v>
          </cell>
          <cell r="G52">
            <v>7.1845473632812498</v>
          </cell>
          <cell r="H52">
            <v>0</v>
          </cell>
          <cell r="I52">
            <v>5.6668413085937503</v>
          </cell>
          <cell r="J52">
            <v>0</v>
          </cell>
          <cell r="K52">
            <v>5.6668413085937503</v>
          </cell>
          <cell r="L52">
            <v>45.461783691406254</v>
          </cell>
          <cell r="N52">
            <v>20.887964843750002</v>
          </cell>
          <cell r="O52">
            <v>11.508864257812499</v>
          </cell>
          <cell r="P52">
            <v>17.855027343749999</v>
          </cell>
          <cell r="Q52">
            <v>16.397398437500001</v>
          </cell>
          <cell r="R52">
            <v>66.6492548828125</v>
          </cell>
          <cell r="T52">
            <v>0</v>
          </cell>
          <cell r="U52">
            <v>32.444781249999998</v>
          </cell>
          <cell r="V52">
            <v>32.444781249999998</v>
          </cell>
          <cell r="X52">
            <v>17.982488281249999</v>
          </cell>
          <cell r="Y52">
            <v>17.980244140625</v>
          </cell>
          <cell r="Z52">
            <v>14.4889365234375</v>
          </cell>
          <cell r="AA52">
            <v>1.8687427978515625</v>
          </cell>
          <cell r="AB52">
            <v>52.320411743164065</v>
          </cell>
          <cell r="AD52">
            <v>0.44596102905273438</v>
          </cell>
          <cell r="AE52">
            <v>4.8382892608642581E-3</v>
          </cell>
        </row>
        <row r="53">
          <cell r="C53">
            <v>44986.46875</v>
          </cell>
          <cell r="D53">
            <v>13.840582031249999</v>
          </cell>
          <cell r="E53">
            <v>11.108259765625</v>
          </cell>
          <cell r="F53">
            <v>16.472634765624999</v>
          </cell>
          <cell r="G53">
            <v>7.1501982421874999</v>
          </cell>
          <cell r="H53">
            <v>0</v>
          </cell>
          <cell r="I53">
            <v>6.2059360351562498</v>
          </cell>
          <cell r="J53">
            <v>0</v>
          </cell>
          <cell r="K53">
            <v>6.2059360351562498</v>
          </cell>
          <cell r="L53">
            <v>47.627412597656253</v>
          </cell>
          <cell r="N53">
            <v>21.274193359375001</v>
          </cell>
          <cell r="O53">
            <v>11.396458984375</v>
          </cell>
          <cell r="P53">
            <v>17.771960937500001</v>
          </cell>
          <cell r="Q53">
            <v>16.244451171874999</v>
          </cell>
          <cell r="R53">
            <v>66.687064453125004</v>
          </cell>
          <cell r="T53">
            <v>0</v>
          </cell>
          <cell r="U53">
            <v>32.408000000000001</v>
          </cell>
          <cell r="V53">
            <v>32.408000000000001</v>
          </cell>
          <cell r="X53">
            <v>17.981095703125</v>
          </cell>
          <cell r="Y53">
            <v>17.977291015624999</v>
          </cell>
          <cell r="Z53">
            <v>14.4966279296875</v>
          </cell>
          <cell r="AA53">
            <v>1.8238248291015624</v>
          </cell>
          <cell r="AB53">
            <v>52.278839477539059</v>
          </cell>
          <cell r="AD53">
            <v>0.45077111816406251</v>
          </cell>
          <cell r="AE53">
            <v>4.8755168914794925E-3</v>
          </cell>
        </row>
        <row r="54">
          <cell r="C54">
            <v>44986.479166666664</v>
          </cell>
          <cell r="D54">
            <v>13.653205078125</v>
          </cell>
          <cell r="E54">
            <v>11.096647460937501</v>
          </cell>
          <cell r="F54">
            <v>16.778992187499998</v>
          </cell>
          <cell r="G54">
            <v>7.2309233398437502</v>
          </cell>
          <cell r="H54">
            <v>0</v>
          </cell>
          <cell r="I54">
            <v>6.1116181640624996</v>
          </cell>
          <cell r="J54">
            <v>0</v>
          </cell>
          <cell r="K54">
            <v>6.1116181640624996</v>
          </cell>
          <cell r="L54">
            <v>47.640462890624995</v>
          </cell>
          <cell r="N54">
            <v>21.238062500000002</v>
          </cell>
          <cell r="O54">
            <v>11.370583984374999</v>
          </cell>
          <cell r="P54">
            <v>17.518966796874999</v>
          </cell>
          <cell r="Q54">
            <v>15.991024414062499</v>
          </cell>
          <cell r="R54">
            <v>66.118637695312501</v>
          </cell>
          <cell r="T54">
            <v>0</v>
          </cell>
          <cell r="U54">
            <v>32.241859374999997</v>
          </cell>
          <cell r="V54">
            <v>32.241859374999997</v>
          </cell>
          <cell r="X54">
            <v>17.982115234375001</v>
          </cell>
          <cell r="Y54">
            <v>17.976347656249999</v>
          </cell>
          <cell r="Z54">
            <v>14.7787236328125</v>
          </cell>
          <cell r="AA54">
            <v>1.8353668212890626</v>
          </cell>
          <cell r="AB54">
            <v>52.572553344726565</v>
          </cell>
          <cell r="AD54">
            <v>0.44554660034179688</v>
          </cell>
          <cell r="AE54">
            <v>4.795616149902344E-3</v>
          </cell>
        </row>
        <row r="55">
          <cell r="C55">
            <v>44986.489583333328</v>
          </cell>
          <cell r="D55">
            <v>13.7203212890625</v>
          </cell>
          <cell r="E55">
            <v>11.316061523437501</v>
          </cell>
          <cell r="F55">
            <v>16.829351562500001</v>
          </cell>
          <cell r="G55">
            <v>7.2203193359375</v>
          </cell>
          <cell r="H55">
            <v>0</v>
          </cell>
          <cell r="I55">
            <v>6.3658320312500001</v>
          </cell>
          <cell r="J55">
            <v>0</v>
          </cell>
          <cell r="K55">
            <v>6.3658320312500001</v>
          </cell>
          <cell r="L55">
            <v>48.231566406249996</v>
          </cell>
          <cell r="N55">
            <v>21.253289062499999</v>
          </cell>
          <cell r="O55">
            <v>11.335601562500001</v>
          </cell>
          <cell r="P55">
            <v>17.531580078125</v>
          </cell>
          <cell r="Q55">
            <v>15.96133203125</v>
          </cell>
          <cell r="R55">
            <v>66.081802734374989</v>
          </cell>
          <cell r="T55">
            <v>0</v>
          </cell>
          <cell r="U55">
            <v>32.431419921874998</v>
          </cell>
          <cell r="V55">
            <v>32.431419921874998</v>
          </cell>
          <cell r="X55">
            <v>17.982884765624998</v>
          </cell>
          <cell r="Y55">
            <v>17.976685546875</v>
          </cell>
          <cell r="Z55">
            <v>14.851952148437499</v>
          </cell>
          <cell r="AA55">
            <v>1.9072449951171875</v>
          </cell>
          <cell r="AB55">
            <v>52.718767456054685</v>
          </cell>
          <cell r="AD55">
            <v>0.44700875854492189</v>
          </cell>
          <cell r="AE55">
            <v>4.7676119804382321E-3</v>
          </cell>
        </row>
        <row r="56">
          <cell r="C56">
            <v>44986.5</v>
          </cell>
          <cell r="D56">
            <v>13.739315429687499</v>
          </cell>
          <cell r="E56">
            <v>11.377529296875</v>
          </cell>
          <cell r="F56">
            <v>16.59896484375</v>
          </cell>
          <cell r="G56">
            <v>7.21957421875</v>
          </cell>
          <cell r="H56">
            <v>0</v>
          </cell>
          <cell r="I56">
            <v>6.4337744140625004</v>
          </cell>
          <cell r="J56">
            <v>0</v>
          </cell>
          <cell r="K56">
            <v>6.4337744140625004</v>
          </cell>
          <cell r="L56">
            <v>48.149583984374999</v>
          </cell>
          <cell r="N56">
            <v>21.552064453124999</v>
          </cell>
          <cell r="O56">
            <v>11.110618164062499</v>
          </cell>
          <cell r="P56">
            <v>17.44782421875</v>
          </cell>
          <cell r="Q56">
            <v>15.768177734375</v>
          </cell>
          <cell r="R56">
            <v>65.878684570312501</v>
          </cell>
          <cell r="T56">
            <v>0</v>
          </cell>
          <cell r="U56">
            <v>31.895673828124998</v>
          </cell>
          <cell r="V56">
            <v>31.895673828124998</v>
          </cell>
          <cell r="X56">
            <v>17.982460937500001</v>
          </cell>
          <cell r="Y56">
            <v>17.977628906250001</v>
          </cell>
          <cell r="Z56">
            <v>14.8608037109375</v>
          </cell>
          <cell r="AA56">
            <v>1.9674918212890624</v>
          </cell>
          <cell r="AB56">
            <v>52.78838537597656</v>
          </cell>
          <cell r="AD56">
            <v>0.4512388916015625</v>
          </cell>
          <cell r="AE56">
            <v>4.9307537078857426E-3</v>
          </cell>
        </row>
        <row r="57">
          <cell r="C57">
            <v>44986.510416666664</v>
          </cell>
          <cell r="D57">
            <v>13.638826171874999</v>
          </cell>
          <cell r="E57">
            <v>11.293410156249999</v>
          </cell>
          <cell r="F57">
            <v>17.2572734375</v>
          </cell>
          <cell r="G57">
            <v>7.0836796875000001</v>
          </cell>
          <cell r="H57">
            <v>0</v>
          </cell>
          <cell r="I57">
            <v>6.4453276367187504</v>
          </cell>
          <cell r="J57">
            <v>0</v>
          </cell>
          <cell r="K57">
            <v>6.4453276367187504</v>
          </cell>
          <cell r="L57">
            <v>48.634837402343749</v>
          </cell>
          <cell r="N57">
            <v>21.489859375000002</v>
          </cell>
          <cell r="O57">
            <v>10.6172646484375</v>
          </cell>
          <cell r="P57">
            <v>17.030863281249999</v>
          </cell>
          <cell r="Q57">
            <v>15.261575195312499</v>
          </cell>
          <cell r="R57">
            <v>64.399562500000002</v>
          </cell>
          <cell r="T57">
            <v>0</v>
          </cell>
          <cell r="U57">
            <v>31.008275390624998</v>
          </cell>
          <cell r="V57">
            <v>31.008275390624998</v>
          </cell>
          <cell r="X57">
            <v>17.982505859374999</v>
          </cell>
          <cell r="Y57">
            <v>17.979703125</v>
          </cell>
          <cell r="Z57">
            <v>14.843127929687499</v>
          </cell>
          <cell r="AA57">
            <v>1.83090966796875</v>
          </cell>
          <cell r="AB57">
            <v>52.636246582031241</v>
          </cell>
          <cell r="AD57">
            <v>0.45563046264648438</v>
          </cell>
          <cell r="AE57">
            <v>5.0540065765380861E-3</v>
          </cell>
        </row>
        <row r="58">
          <cell r="C58">
            <v>44986.520833333328</v>
          </cell>
          <cell r="D58">
            <v>13.725269531249999</v>
          </cell>
          <cell r="E58">
            <v>11.368416015625</v>
          </cell>
          <cell r="F58">
            <v>17.183953124999999</v>
          </cell>
          <cell r="G58">
            <v>7.0157534179687504</v>
          </cell>
          <cell r="H58">
            <v>0</v>
          </cell>
          <cell r="I58">
            <v>6.5928603515624999</v>
          </cell>
          <cell r="J58">
            <v>0</v>
          </cell>
          <cell r="K58">
            <v>6.5928603515624999</v>
          </cell>
          <cell r="L58">
            <v>48.870499023437496</v>
          </cell>
          <cell r="N58">
            <v>21.489888671875001</v>
          </cell>
          <cell r="O58">
            <v>10.57216015625</v>
          </cell>
          <cell r="P58">
            <v>16.912830078125001</v>
          </cell>
          <cell r="Q58">
            <v>15.1500234375</v>
          </cell>
          <cell r="R58">
            <v>64.124902343749994</v>
          </cell>
          <cell r="T58">
            <v>0</v>
          </cell>
          <cell r="U58">
            <v>30.885156250000001</v>
          </cell>
          <cell r="V58">
            <v>30.885156250000001</v>
          </cell>
          <cell r="X58">
            <v>17.980914062499998</v>
          </cell>
          <cell r="Y58">
            <v>17.979744140625002</v>
          </cell>
          <cell r="Z58">
            <v>14.9794814453125</v>
          </cell>
          <cell r="AA58">
            <v>1.7941153564453125</v>
          </cell>
          <cell r="AB58">
            <v>52.734255004882812</v>
          </cell>
          <cell r="AD58">
            <v>0.4651452331542969</v>
          </cell>
          <cell r="AE58">
            <v>5.115962982177734E-3</v>
          </cell>
        </row>
        <row r="59">
          <cell r="C59">
            <v>44986.53125</v>
          </cell>
          <cell r="D59">
            <v>13.651983398437499</v>
          </cell>
          <cell r="E59">
            <v>11.338880859374999</v>
          </cell>
          <cell r="F59">
            <v>17.209634765625001</v>
          </cell>
          <cell r="G59">
            <v>7.0105332031250001</v>
          </cell>
          <cell r="H59">
            <v>0</v>
          </cell>
          <cell r="I59">
            <v>6.5539868164062502</v>
          </cell>
          <cell r="J59">
            <v>0</v>
          </cell>
          <cell r="K59">
            <v>6.5539868164062502</v>
          </cell>
          <cell r="L59">
            <v>48.754485839843753</v>
          </cell>
          <cell r="N59">
            <v>21.669638671874999</v>
          </cell>
          <cell r="O59">
            <v>10.553418945312499</v>
          </cell>
          <cell r="P59">
            <v>16.843580078125001</v>
          </cell>
          <cell r="Q59">
            <v>15.257830078125</v>
          </cell>
          <cell r="R59">
            <v>64.324467773437505</v>
          </cell>
          <cell r="T59">
            <v>0</v>
          </cell>
          <cell r="U59">
            <v>31.051607421875001</v>
          </cell>
          <cell r="V59">
            <v>31.051607421875001</v>
          </cell>
          <cell r="X59">
            <v>17.981662109375002</v>
          </cell>
          <cell r="Y59">
            <v>17.980171875</v>
          </cell>
          <cell r="Z59">
            <v>14.864416015625</v>
          </cell>
          <cell r="AA59">
            <v>1.8040352783203124</v>
          </cell>
          <cell r="AB59">
            <v>52.630285278320315</v>
          </cell>
          <cell r="AD59">
            <v>0.45666427612304689</v>
          </cell>
          <cell r="AE59">
            <v>4.9121928215026854E-3</v>
          </cell>
        </row>
        <row r="60">
          <cell r="C60">
            <v>44986.541666666664</v>
          </cell>
          <cell r="D60">
            <v>13.629548828124999</v>
          </cell>
          <cell r="E60">
            <v>11.229077148437501</v>
          </cell>
          <cell r="F60">
            <v>16.913578125000001</v>
          </cell>
          <cell r="G60">
            <v>6.9421523437500001</v>
          </cell>
          <cell r="H60">
            <v>0</v>
          </cell>
          <cell r="I60">
            <v>6.4954345703124998</v>
          </cell>
          <cell r="J60">
            <v>0</v>
          </cell>
          <cell r="K60">
            <v>6.4954345703124998</v>
          </cell>
          <cell r="L60">
            <v>48.267638671875005</v>
          </cell>
          <cell r="N60">
            <v>21.579988281249999</v>
          </cell>
          <cell r="O60">
            <v>10.642580078125</v>
          </cell>
          <cell r="P60">
            <v>17.098333984375</v>
          </cell>
          <cell r="Q60">
            <v>15.5527333984375</v>
          </cell>
          <cell r="R60">
            <v>64.873635742187503</v>
          </cell>
          <cell r="T60">
            <v>0</v>
          </cell>
          <cell r="U60">
            <v>31.291904296875</v>
          </cell>
          <cell r="V60">
            <v>31.291904296875</v>
          </cell>
          <cell r="X60">
            <v>17.98078125</v>
          </cell>
          <cell r="Y60">
            <v>17.98066015625</v>
          </cell>
          <cell r="Z60">
            <v>14.665434570312501</v>
          </cell>
          <cell r="AA60">
            <v>1.7829005126953126</v>
          </cell>
          <cell r="AB60">
            <v>52.409776489257816</v>
          </cell>
          <cell r="AD60">
            <v>0.45080419921874998</v>
          </cell>
          <cell r="AE60">
            <v>4.9181728363037113E-3</v>
          </cell>
        </row>
        <row r="61">
          <cell r="C61">
            <v>44986.552083333328</v>
          </cell>
          <cell r="D61">
            <v>13.653384765625001</v>
          </cell>
          <cell r="E61">
            <v>11.2470078125</v>
          </cell>
          <cell r="F61">
            <v>16.910980468750001</v>
          </cell>
          <cell r="G61">
            <v>6.8602265625000003</v>
          </cell>
          <cell r="H61">
            <v>0</v>
          </cell>
          <cell r="I61">
            <v>6.5834184570312502</v>
          </cell>
          <cell r="J61">
            <v>0</v>
          </cell>
          <cell r="K61">
            <v>6.5834184570312502</v>
          </cell>
          <cell r="L61">
            <v>48.394791503906248</v>
          </cell>
          <cell r="N61">
            <v>21.564566406250002</v>
          </cell>
          <cell r="O61">
            <v>10.554491210937501</v>
          </cell>
          <cell r="P61">
            <v>17.11391015625</v>
          </cell>
          <cell r="Q61">
            <v>15.4689775390625</v>
          </cell>
          <cell r="R61">
            <v>64.701945312500001</v>
          </cell>
          <cell r="T61">
            <v>0</v>
          </cell>
          <cell r="U61">
            <v>30.753380859375</v>
          </cell>
          <cell r="V61">
            <v>30.753380859375</v>
          </cell>
          <cell r="X61">
            <v>17.980765625</v>
          </cell>
          <cell r="Y61">
            <v>17.980099609374999</v>
          </cell>
          <cell r="Z61">
            <v>14.5512421875</v>
          </cell>
          <cell r="AA61">
            <v>1.8598834228515626</v>
          </cell>
          <cell r="AB61">
            <v>52.371990844726561</v>
          </cell>
          <cell r="AD61">
            <v>0.4511837463378906</v>
          </cell>
          <cell r="AE61">
            <v>5.0237479209899903E-3</v>
          </cell>
        </row>
        <row r="62">
          <cell r="C62">
            <v>44986.5625</v>
          </cell>
          <cell r="D62">
            <v>13.69069921875</v>
          </cell>
          <cell r="E62">
            <v>11.2709453125</v>
          </cell>
          <cell r="F62">
            <v>16.757240234375001</v>
          </cell>
          <cell r="G62">
            <v>7.0223974609375004</v>
          </cell>
          <cell r="H62">
            <v>0</v>
          </cell>
          <cell r="I62">
            <v>6.4686137695312498</v>
          </cell>
          <cell r="J62">
            <v>0</v>
          </cell>
          <cell r="K62">
            <v>6.4686137695312498</v>
          </cell>
          <cell r="L62">
            <v>48.187498535156251</v>
          </cell>
          <cell r="N62">
            <v>21.534695312499998</v>
          </cell>
          <cell r="O62">
            <v>10.597107421875</v>
          </cell>
          <cell r="P62">
            <v>16.980970703124999</v>
          </cell>
          <cell r="Q62">
            <v>15.2802119140625</v>
          </cell>
          <cell r="R62">
            <v>64.392985351562501</v>
          </cell>
          <cell r="T62">
            <v>0</v>
          </cell>
          <cell r="U62">
            <v>30.943013671875001</v>
          </cell>
          <cell r="V62">
            <v>30.943013671875001</v>
          </cell>
          <cell r="X62">
            <v>17.981457031249999</v>
          </cell>
          <cell r="Y62">
            <v>17.980437500000001</v>
          </cell>
          <cell r="Z62">
            <v>14.304654296875</v>
          </cell>
          <cell r="AA62">
            <v>1.935757080078125</v>
          </cell>
          <cell r="AB62">
            <v>52.202305908203122</v>
          </cell>
          <cell r="AD62">
            <v>0.44466970825195312</v>
          </cell>
          <cell r="AE62">
            <v>4.8944649696350097E-3</v>
          </cell>
        </row>
        <row r="63">
          <cell r="C63">
            <v>44986.572916666664</v>
          </cell>
          <cell r="D63">
            <v>13.6948828125</v>
          </cell>
          <cell r="E63">
            <v>11.302903320312501</v>
          </cell>
          <cell r="F63">
            <v>16.050959960937501</v>
          </cell>
          <cell r="G63">
            <v>6.9664072265624997</v>
          </cell>
          <cell r="H63">
            <v>0</v>
          </cell>
          <cell r="I63">
            <v>6.5624682617187498</v>
          </cell>
          <cell r="J63">
            <v>0</v>
          </cell>
          <cell r="K63">
            <v>6.5624682617187498</v>
          </cell>
          <cell r="L63">
            <v>47.611214355468746</v>
          </cell>
          <cell r="N63">
            <v>21.218113281250002</v>
          </cell>
          <cell r="O63">
            <v>10.8664658203125</v>
          </cell>
          <cell r="P63">
            <v>17.070248046875001</v>
          </cell>
          <cell r="Q63">
            <v>15.3598818359375</v>
          </cell>
          <cell r="R63">
            <v>64.514708984375005</v>
          </cell>
          <cell r="T63">
            <v>0</v>
          </cell>
          <cell r="U63">
            <v>32.237935546875001</v>
          </cell>
          <cell r="V63">
            <v>32.237935546875001</v>
          </cell>
          <cell r="X63">
            <v>17.983082031249999</v>
          </cell>
          <cell r="Y63">
            <v>17.981984375</v>
          </cell>
          <cell r="Z63">
            <v>14.551481445312501</v>
          </cell>
          <cell r="AA63">
            <v>1.9295701904296876</v>
          </cell>
          <cell r="AB63">
            <v>52.446118041992193</v>
          </cell>
          <cell r="AD63">
            <v>0.43987643432617185</v>
          </cell>
          <cell r="AE63">
            <v>5.0326042175292971E-3</v>
          </cell>
        </row>
        <row r="64">
          <cell r="C64">
            <v>44986.583333333328</v>
          </cell>
          <cell r="D64">
            <v>13.495252929687499</v>
          </cell>
          <cell r="E64">
            <v>11.187798828125</v>
          </cell>
          <cell r="F64">
            <v>15.629056640625</v>
          </cell>
          <cell r="G64">
            <v>6.9579492187499996</v>
          </cell>
          <cell r="H64">
            <v>0</v>
          </cell>
          <cell r="I64">
            <v>6.4467509765625</v>
          </cell>
          <cell r="J64">
            <v>0</v>
          </cell>
          <cell r="K64">
            <v>6.4467509765625</v>
          </cell>
          <cell r="L64">
            <v>46.758859375</v>
          </cell>
          <cell r="N64">
            <v>21.0522109375</v>
          </cell>
          <cell r="O64">
            <v>10.763541015625</v>
          </cell>
          <cell r="P64">
            <v>16.934275390625</v>
          </cell>
          <cell r="Q64">
            <v>15.331817382812501</v>
          </cell>
          <cell r="R64">
            <v>64.081844726562508</v>
          </cell>
          <cell r="T64">
            <v>0</v>
          </cell>
          <cell r="U64">
            <v>32.151126953125001</v>
          </cell>
          <cell r="V64">
            <v>32.151126953125001</v>
          </cell>
          <cell r="X64">
            <v>17.982630859375</v>
          </cell>
          <cell r="Y64">
            <v>17.983064453124999</v>
          </cell>
          <cell r="Z64">
            <v>14.454177734375</v>
          </cell>
          <cell r="AA64">
            <v>1.889638427734375</v>
          </cell>
          <cell r="AB64">
            <v>52.30951147460938</v>
          </cell>
          <cell r="AD64">
            <v>0.42852825927734373</v>
          </cell>
          <cell r="AE64">
            <v>5.0523834228515625E-3</v>
          </cell>
        </row>
        <row r="65">
          <cell r="C65">
            <v>44986.59375</v>
          </cell>
          <cell r="D65">
            <v>13.27047265625</v>
          </cell>
          <cell r="E65">
            <v>11.055634765624999</v>
          </cell>
          <cell r="F65">
            <v>15.5675595703125</v>
          </cell>
          <cell r="G65">
            <v>6.9825512695312497</v>
          </cell>
          <cell r="H65">
            <v>0</v>
          </cell>
          <cell r="I65">
            <v>6.2770722656249998</v>
          </cell>
          <cell r="J65">
            <v>0</v>
          </cell>
          <cell r="K65">
            <v>6.2770722656249998</v>
          </cell>
          <cell r="L65">
            <v>46.1707392578125</v>
          </cell>
          <cell r="N65">
            <v>21.147277343750002</v>
          </cell>
          <cell r="O65">
            <v>10.5409892578125</v>
          </cell>
          <cell r="P65">
            <v>16.833990234375001</v>
          </cell>
          <cell r="Q65">
            <v>15.157457031250001</v>
          </cell>
          <cell r="R65">
            <v>63.679713867187502</v>
          </cell>
          <cell r="T65">
            <v>0</v>
          </cell>
          <cell r="U65">
            <v>32.170589843750001</v>
          </cell>
          <cell r="V65">
            <v>32.170589843750001</v>
          </cell>
          <cell r="X65">
            <v>17.982658203124998</v>
          </cell>
          <cell r="Y65">
            <v>17.98337890625</v>
          </cell>
          <cell r="Z65">
            <v>14.156548828125</v>
          </cell>
          <cell r="AA65">
            <v>1.8303552246093751</v>
          </cell>
          <cell r="AB65">
            <v>51.952941162109369</v>
          </cell>
          <cell r="AD65">
            <v>0.42972827148437498</v>
          </cell>
          <cell r="AE65">
            <v>4.8864169120788571E-3</v>
          </cell>
        </row>
        <row r="66">
          <cell r="C66">
            <v>44986.604166666664</v>
          </cell>
          <cell r="D66">
            <v>13.472040039062501</v>
          </cell>
          <cell r="E66">
            <v>11.2200576171875</v>
          </cell>
          <cell r="F66">
            <v>15.483944335937499</v>
          </cell>
          <cell r="G66">
            <v>7.0657192382812504</v>
          </cell>
          <cell r="H66">
            <v>0</v>
          </cell>
          <cell r="I66">
            <v>6.3926616210937501</v>
          </cell>
          <cell r="J66">
            <v>0</v>
          </cell>
          <cell r="K66">
            <v>6.3926616210937501</v>
          </cell>
          <cell r="L66">
            <v>46.568703613281251</v>
          </cell>
          <cell r="N66">
            <v>21.1991328125</v>
          </cell>
          <cell r="O66">
            <v>9.4618662109374991</v>
          </cell>
          <cell r="P66">
            <v>16.824208984375002</v>
          </cell>
          <cell r="Q66">
            <v>15.2321318359375</v>
          </cell>
          <cell r="R66">
            <v>62.717339843750004</v>
          </cell>
          <cell r="T66">
            <v>0</v>
          </cell>
          <cell r="U66">
            <v>32.185210937500003</v>
          </cell>
          <cell r="V66">
            <v>32.185210937500003</v>
          </cell>
          <cell r="X66">
            <v>17.982765624999999</v>
          </cell>
          <cell r="Y66">
            <v>17.982968750000001</v>
          </cell>
          <cell r="Z66">
            <v>14.2961767578125</v>
          </cell>
          <cell r="AA66">
            <v>1.8043953857421875</v>
          </cell>
          <cell r="AB66">
            <v>52.06630651855469</v>
          </cell>
          <cell r="AD66">
            <v>0.43246170043945314</v>
          </cell>
          <cell r="AE66">
            <v>5.1052851676940915E-3</v>
          </cell>
        </row>
        <row r="67">
          <cell r="C67">
            <v>44986.614583333328</v>
          </cell>
          <cell r="D67">
            <v>13.439475585937499</v>
          </cell>
          <cell r="E67">
            <v>11.245087890624999</v>
          </cell>
          <cell r="F67">
            <v>15.154453125</v>
          </cell>
          <cell r="G67">
            <v>7.05496240234375</v>
          </cell>
          <cell r="H67">
            <v>0</v>
          </cell>
          <cell r="I67">
            <v>6.4339931640624997</v>
          </cell>
          <cell r="J67">
            <v>0</v>
          </cell>
          <cell r="K67">
            <v>6.4339931640624997</v>
          </cell>
          <cell r="L67">
            <v>46.273009765624998</v>
          </cell>
          <cell r="N67">
            <v>21.45178125</v>
          </cell>
          <cell r="O67">
            <v>9.7541074218750001</v>
          </cell>
          <cell r="P67">
            <v>16.706908203125</v>
          </cell>
          <cell r="Q67">
            <v>15.2182265625</v>
          </cell>
          <cell r="R67">
            <v>63.131023437499998</v>
          </cell>
          <cell r="T67">
            <v>0</v>
          </cell>
          <cell r="U67">
            <v>32.28996875</v>
          </cell>
          <cell r="V67">
            <v>32.28996875</v>
          </cell>
          <cell r="X67">
            <v>17.983140625000001</v>
          </cell>
          <cell r="Y67">
            <v>17.983988281249999</v>
          </cell>
          <cell r="Z67">
            <v>14.415698242187499</v>
          </cell>
          <cell r="AA67">
            <v>1.7956630859375</v>
          </cell>
          <cell r="AB67">
            <v>52.178490234374998</v>
          </cell>
          <cell r="AD67">
            <v>0.42615173339843748</v>
          </cell>
          <cell r="AE67">
            <v>4.8748841285705564E-3</v>
          </cell>
        </row>
        <row r="68">
          <cell r="C68">
            <v>44986.625</v>
          </cell>
          <cell r="D68">
            <v>13.412141601562499</v>
          </cell>
          <cell r="E68">
            <v>11.26702734375</v>
          </cell>
          <cell r="F68">
            <v>15.305892578125</v>
          </cell>
          <cell r="G68">
            <v>7.0253627929687497</v>
          </cell>
          <cell r="H68">
            <v>0</v>
          </cell>
          <cell r="I68">
            <v>6.4823510742187498</v>
          </cell>
          <cell r="J68">
            <v>0</v>
          </cell>
          <cell r="K68">
            <v>6.4823510742187498</v>
          </cell>
          <cell r="L68">
            <v>46.467412597656249</v>
          </cell>
          <cell r="N68">
            <v>21.547812499999999</v>
          </cell>
          <cell r="O68">
            <v>9.9873486328125001</v>
          </cell>
          <cell r="P68">
            <v>16.810554687500002</v>
          </cell>
          <cell r="Q68">
            <v>15.2727744140625</v>
          </cell>
          <cell r="R68">
            <v>63.618490234375003</v>
          </cell>
          <cell r="T68">
            <v>0</v>
          </cell>
          <cell r="U68">
            <v>32.545582031249999</v>
          </cell>
          <cell r="V68">
            <v>32.545582031249999</v>
          </cell>
          <cell r="X68">
            <v>17.983458984375002</v>
          </cell>
          <cell r="Y68">
            <v>17.984082031250001</v>
          </cell>
          <cell r="Z68">
            <v>14.378548828125</v>
          </cell>
          <cell r="AA68">
            <v>1.7489427490234375</v>
          </cell>
          <cell r="AB68">
            <v>52.095032592773435</v>
          </cell>
          <cell r="AD68">
            <v>0.43274645996093752</v>
          </cell>
          <cell r="AE68">
            <v>4.8106093406677245E-3</v>
          </cell>
        </row>
        <row r="69">
          <cell r="C69">
            <v>44986.635416666664</v>
          </cell>
          <cell r="D69">
            <v>13.291203124999999</v>
          </cell>
          <cell r="E69">
            <v>11.189510742187499</v>
          </cell>
          <cell r="F69">
            <v>15.392205078125</v>
          </cell>
          <cell r="G69">
            <v>7.0331831054687504</v>
          </cell>
          <cell r="H69">
            <v>0</v>
          </cell>
          <cell r="I69">
            <v>6.3865449218750001</v>
          </cell>
          <cell r="J69">
            <v>0</v>
          </cell>
          <cell r="K69">
            <v>6.3865449218750001</v>
          </cell>
          <cell r="L69">
            <v>46.259463867187492</v>
          </cell>
          <cell r="N69">
            <v>22.065978515625002</v>
          </cell>
          <cell r="O69">
            <v>9.9554287109375004</v>
          </cell>
          <cell r="P69">
            <v>16.51206640625</v>
          </cell>
          <cell r="Q69">
            <v>14.757696289062499</v>
          </cell>
          <cell r="R69">
            <v>63.291169921875003</v>
          </cell>
          <cell r="T69">
            <v>0</v>
          </cell>
          <cell r="U69">
            <v>33.385093750000003</v>
          </cell>
          <cell r="V69">
            <v>33.385093750000003</v>
          </cell>
          <cell r="X69">
            <v>17.982601562500001</v>
          </cell>
          <cell r="Y69">
            <v>17.984697265625002</v>
          </cell>
          <cell r="Z69">
            <v>14.3141220703125</v>
          </cell>
          <cell r="AA69">
            <v>1.7998719482421874</v>
          </cell>
          <cell r="AB69">
            <v>52.081292846679688</v>
          </cell>
          <cell r="AD69">
            <v>0.4474768981933594</v>
          </cell>
          <cell r="AE69">
            <v>5.0208034515380863E-3</v>
          </cell>
        </row>
        <row r="70">
          <cell r="C70">
            <v>44986.645833333328</v>
          </cell>
          <cell r="D70">
            <v>13.2436796875</v>
          </cell>
          <cell r="E70">
            <v>11.1933837890625</v>
          </cell>
          <cell r="F70">
            <v>15.156262695312501</v>
          </cell>
          <cell r="G70">
            <v>6.9364140624999999</v>
          </cell>
          <cell r="H70">
            <v>0</v>
          </cell>
          <cell r="I70">
            <v>6.4760727539062497</v>
          </cell>
          <cell r="J70">
            <v>0</v>
          </cell>
          <cell r="K70">
            <v>6.4760727539062497</v>
          </cell>
          <cell r="L70">
            <v>46.06939892578125</v>
          </cell>
          <cell r="N70">
            <v>22.169046874999999</v>
          </cell>
          <cell r="O70">
            <v>10.104080078125</v>
          </cell>
          <cell r="P70">
            <v>16.374798828125002</v>
          </cell>
          <cell r="Q70">
            <v>14.642129882812499</v>
          </cell>
          <cell r="R70">
            <v>63.2900556640625</v>
          </cell>
          <cell r="T70">
            <v>0</v>
          </cell>
          <cell r="U70">
            <v>32.87158203125</v>
          </cell>
          <cell r="V70">
            <v>32.87158203125</v>
          </cell>
          <cell r="X70">
            <v>17.980591796875</v>
          </cell>
          <cell r="Y70">
            <v>17.983763671875</v>
          </cell>
          <cell r="Z70">
            <v>14.3090234375</v>
          </cell>
          <cell r="AA70">
            <v>1.8290621337890625</v>
          </cell>
          <cell r="AB70">
            <v>52.102441040039068</v>
          </cell>
          <cell r="AD70">
            <v>0.44114471435546876</v>
          </cell>
          <cell r="AE70">
            <v>4.9020323753356937E-3</v>
          </cell>
        </row>
        <row r="71">
          <cell r="C71">
            <v>44986.65625</v>
          </cell>
          <cell r="D71">
            <v>13.166289062500001</v>
          </cell>
          <cell r="E71">
            <v>11.14390234375</v>
          </cell>
          <cell r="F71">
            <v>14.6370224609375</v>
          </cell>
          <cell r="G71">
            <v>6.9862504882812502</v>
          </cell>
          <cell r="H71">
            <v>0</v>
          </cell>
          <cell r="I71">
            <v>6.3983266601562496</v>
          </cell>
          <cell r="J71">
            <v>0</v>
          </cell>
          <cell r="K71">
            <v>6.3983266601562496</v>
          </cell>
          <cell r="L71">
            <v>45.345540527343751</v>
          </cell>
          <cell r="N71">
            <v>22.096732421875</v>
          </cell>
          <cell r="O71">
            <v>10.4662021484375</v>
          </cell>
          <cell r="P71">
            <v>16.166281250000001</v>
          </cell>
          <cell r="Q71">
            <v>14.435838867187501</v>
          </cell>
          <cell r="R71">
            <v>63.165054687500003</v>
          </cell>
          <cell r="T71">
            <v>0</v>
          </cell>
          <cell r="U71">
            <v>29.19440625</v>
          </cell>
          <cell r="V71">
            <v>29.19440625</v>
          </cell>
          <cell r="X71">
            <v>17.98247265625</v>
          </cell>
          <cell r="Y71">
            <v>17.982496093750001</v>
          </cell>
          <cell r="Z71">
            <v>14.3851904296875</v>
          </cell>
          <cell r="AA71">
            <v>1.8578068847656251</v>
          </cell>
          <cell r="AB71">
            <v>52.207966064453117</v>
          </cell>
          <cell r="AD71">
            <v>0.44150375366210937</v>
          </cell>
          <cell r="AE71">
            <v>5.1011557579040525E-3</v>
          </cell>
        </row>
        <row r="72">
          <cell r="C72">
            <v>44986.666666666664</v>
          </cell>
          <cell r="D72">
            <v>12.799583984374999</v>
          </cell>
          <cell r="E72">
            <v>10.915814453125</v>
          </cell>
          <cell r="F72">
            <v>14.1633818359375</v>
          </cell>
          <cell r="G72">
            <v>6.9103603515624998</v>
          </cell>
          <cell r="H72">
            <v>0</v>
          </cell>
          <cell r="I72">
            <v>6.2143081054687501</v>
          </cell>
          <cell r="J72">
            <v>0</v>
          </cell>
          <cell r="K72">
            <v>6.2143081054687501</v>
          </cell>
          <cell r="L72">
            <v>44.093088378906252</v>
          </cell>
          <cell r="N72">
            <v>22.030640625</v>
          </cell>
          <cell r="O72">
            <v>10.735976562499999</v>
          </cell>
          <cell r="P72">
            <v>15.763840820312501</v>
          </cell>
          <cell r="Q72">
            <v>14.0870537109375</v>
          </cell>
          <cell r="R72">
            <v>62.617511718750009</v>
          </cell>
          <cell r="T72">
            <v>0</v>
          </cell>
          <cell r="U72">
            <v>29.04457421875</v>
          </cell>
          <cell r="V72">
            <v>29.04457421875</v>
          </cell>
          <cell r="X72">
            <v>17.983671874999999</v>
          </cell>
          <cell r="Y72">
            <v>17.983861328124998</v>
          </cell>
          <cell r="Z72">
            <v>14.137832031249999</v>
          </cell>
          <cell r="AA72">
            <v>1.8606075439453125</v>
          </cell>
          <cell r="AB72">
            <v>51.965972778320314</v>
          </cell>
          <cell r="AD72">
            <v>0.43963586425781248</v>
          </cell>
          <cell r="AE72">
            <v>5.004156589508057E-3</v>
          </cell>
        </row>
        <row r="73">
          <cell r="C73">
            <v>44986.677083333328</v>
          </cell>
          <cell r="D73">
            <v>12.472556640624999</v>
          </cell>
          <cell r="E73">
            <v>10.689909179687501</v>
          </cell>
          <cell r="F73">
            <v>13.786624023437501</v>
          </cell>
          <cell r="G73">
            <v>6.8035317382812499</v>
          </cell>
          <cell r="H73">
            <v>0</v>
          </cell>
          <cell r="I73">
            <v>6.0488344726562504</v>
          </cell>
          <cell r="J73">
            <v>0</v>
          </cell>
          <cell r="K73">
            <v>6.0488344726562504</v>
          </cell>
          <cell r="L73">
            <v>42.997924316406248</v>
          </cell>
          <cell r="N73">
            <v>22.052455078125</v>
          </cell>
          <cell r="O73">
            <v>10.711775390625</v>
          </cell>
          <cell r="P73">
            <v>15.760774414062499</v>
          </cell>
          <cell r="Q73">
            <v>14.058240234375001</v>
          </cell>
          <cell r="R73">
            <v>62.583245117187495</v>
          </cell>
          <cell r="T73">
            <v>0</v>
          </cell>
          <cell r="U73">
            <v>29.063505859374999</v>
          </cell>
          <cell r="V73">
            <v>29.063505859374999</v>
          </cell>
          <cell r="X73">
            <v>17.983251953124999</v>
          </cell>
          <cell r="Y73">
            <v>17.982708984375002</v>
          </cell>
          <cell r="Z73">
            <v>13.8645107421875</v>
          </cell>
          <cell r="AA73">
            <v>1.7834144287109375</v>
          </cell>
          <cell r="AB73">
            <v>51.613886108398432</v>
          </cell>
          <cell r="AD73">
            <v>0.44853506469726562</v>
          </cell>
          <cell r="AE73">
            <v>5.0881915092468259E-3</v>
          </cell>
        </row>
        <row r="74">
          <cell r="C74">
            <v>44986.6875</v>
          </cell>
          <cell r="D74">
            <v>12.1980263671875</v>
          </cell>
          <cell r="E74">
            <v>10.4885703125</v>
          </cell>
          <cell r="F74">
            <v>13.520546875000001</v>
          </cell>
          <cell r="G74">
            <v>6.70961669921875</v>
          </cell>
          <cell r="H74">
            <v>0</v>
          </cell>
          <cell r="I74">
            <v>5.90363427734375</v>
          </cell>
          <cell r="J74">
            <v>0</v>
          </cell>
          <cell r="K74">
            <v>5.90363427734375</v>
          </cell>
          <cell r="L74">
            <v>42.110777832031253</v>
          </cell>
          <cell r="N74">
            <v>22.208671875</v>
          </cell>
          <cell r="O74">
            <v>10.8568203125</v>
          </cell>
          <cell r="P74">
            <v>15.440373046874999</v>
          </cell>
          <cell r="Q74">
            <v>13.718937499999999</v>
          </cell>
          <cell r="R74">
            <v>62.22480273437499</v>
          </cell>
          <cell r="T74">
            <v>0</v>
          </cell>
          <cell r="U74">
            <v>26.947257812499998</v>
          </cell>
          <cell r="V74">
            <v>26.947257812499998</v>
          </cell>
          <cell r="X74">
            <v>17.981503906250001</v>
          </cell>
          <cell r="Y74">
            <v>17.983220703124999</v>
          </cell>
          <cell r="Z74">
            <v>13.7959853515625</v>
          </cell>
          <cell r="AA74">
            <v>1.7902087402343749</v>
          </cell>
          <cell r="AB74">
            <v>51.550918701171874</v>
          </cell>
          <cell r="AD74">
            <v>0.45825097656250002</v>
          </cell>
          <cell r="AE74">
            <v>5.0877599716186526E-3</v>
          </cell>
        </row>
        <row r="75">
          <cell r="C75">
            <v>44986.697916666664</v>
          </cell>
          <cell r="D75">
            <v>12.0864189453125</v>
          </cell>
          <cell r="E75">
            <v>10.376688476562499</v>
          </cell>
          <cell r="F75">
            <v>13.2042509765625</v>
          </cell>
          <cell r="G75">
            <v>6.7949833984375001</v>
          </cell>
          <cell r="H75">
            <v>0</v>
          </cell>
          <cell r="I75">
            <v>5.7069282226562503</v>
          </cell>
          <cell r="J75">
            <v>0</v>
          </cell>
          <cell r="K75">
            <v>5.7069282226562503</v>
          </cell>
          <cell r="L75">
            <v>41.374286621093752</v>
          </cell>
          <cell r="N75">
            <v>22.060906249999999</v>
          </cell>
          <cell r="O75">
            <v>10.78617578125</v>
          </cell>
          <cell r="P75">
            <v>15.128353515624999</v>
          </cell>
          <cell r="Q75">
            <v>13.343943359375</v>
          </cell>
          <cell r="R75">
            <v>61.319378906249995</v>
          </cell>
          <cell r="T75">
            <v>0</v>
          </cell>
          <cell r="U75">
            <v>26.128326171874999</v>
          </cell>
          <cell r="V75">
            <v>26.128326171874999</v>
          </cell>
          <cell r="X75">
            <v>17.983248046875001</v>
          </cell>
          <cell r="Y75">
            <v>17.986146484374999</v>
          </cell>
          <cell r="Z75">
            <v>13.6646015625</v>
          </cell>
          <cell r="AA75">
            <v>1.6846116943359375</v>
          </cell>
          <cell r="AB75">
            <v>51.318607788085934</v>
          </cell>
          <cell r="AD75">
            <v>0.45518426513671872</v>
          </cell>
          <cell r="AE75">
            <v>4.9344139099121095E-3</v>
          </cell>
        </row>
        <row r="76">
          <cell r="C76">
            <v>44986.708333333328</v>
          </cell>
          <cell r="D76">
            <v>11.544760742187499</v>
          </cell>
          <cell r="E76">
            <v>9.9318759765625</v>
          </cell>
          <cell r="F76">
            <v>12.571405273437501</v>
          </cell>
          <cell r="G76">
            <v>6.8632207031250001</v>
          </cell>
          <cell r="H76">
            <v>0</v>
          </cell>
          <cell r="I76">
            <v>5.1600913085937501</v>
          </cell>
          <cell r="J76">
            <v>0</v>
          </cell>
          <cell r="K76">
            <v>5.1600913085937501</v>
          </cell>
          <cell r="L76">
            <v>39.208133300781249</v>
          </cell>
          <cell r="N76">
            <v>21.354455078125</v>
          </cell>
          <cell r="O76">
            <v>10.866837890625</v>
          </cell>
          <cell r="P76">
            <v>14.908059570312499</v>
          </cell>
          <cell r="Q76">
            <v>13.0269775390625</v>
          </cell>
          <cell r="R76">
            <v>60.156330078124995</v>
          </cell>
          <cell r="T76">
            <v>0</v>
          </cell>
          <cell r="U76">
            <v>25.624568359375001</v>
          </cell>
          <cell r="V76">
            <v>25.624568359375001</v>
          </cell>
          <cell r="X76">
            <v>17.985589843749999</v>
          </cell>
          <cell r="Y76">
            <v>18.359679687500002</v>
          </cell>
          <cell r="Z76">
            <v>13.3408876953125</v>
          </cell>
          <cell r="AA76">
            <v>1.6358790283203124</v>
          </cell>
          <cell r="AB76">
            <v>51.322036254882811</v>
          </cell>
          <cell r="AD76">
            <v>0.46854907226562498</v>
          </cell>
          <cell r="AE76">
            <v>5.0657186508178713E-3</v>
          </cell>
        </row>
        <row r="77">
          <cell r="C77">
            <v>44986.71875</v>
          </cell>
          <cell r="D77">
            <v>11.0205341796875</v>
          </cell>
          <cell r="E77">
            <v>9.4619023437499994</v>
          </cell>
          <cell r="F77">
            <v>11.622596679687501</v>
          </cell>
          <cell r="G77">
            <v>7.0978867187499999</v>
          </cell>
          <cell r="H77">
            <v>0</v>
          </cell>
          <cell r="I77">
            <v>4.4466743164062503</v>
          </cell>
          <cell r="J77">
            <v>0</v>
          </cell>
          <cell r="K77">
            <v>4.4466743164062503</v>
          </cell>
          <cell r="L77">
            <v>36.551707519531256</v>
          </cell>
          <cell r="N77">
            <v>19.76121484375</v>
          </cell>
          <cell r="O77">
            <v>10.7787744140625</v>
          </cell>
          <cell r="P77">
            <v>14.315502929687501</v>
          </cell>
          <cell r="Q77">
            <v>12.2444306640625</v>
          </cell>
          <cell r="R77">
            <v>57.099922851562503</v>
          </cell>
          <cell r="T77">
            <v>0</v>
          </cell>
          <cell r="U77">
            <v>26.088115234375</v>
          </cell>
          <cell r="V77">
            <v>26.088115234375</v>
          </cell>
          <cell r="X77">
            <v>17.982294921874999</v>
          </cell>
          <cell r="Y77">
            <v>18.568103515625001</v>
          </cell>
          <cell r="Z77">
            <v>12.61746484375</v>
          </cell>
          <cell r="AA77">
            <v>1.5442781982421876</v>
          </cell>
          <cell r="AB77">
            <v>50.712141479492189</v>
          </cell>
          <cell r="AD77">
            <v>0.49166006469726564</v>
          </cell>
          <cell r="AE77">
            <v>5.1703486442565916E-3</v>
          </cell>
        </row>
        <row r="78">
          <cell r="C78">
            <v>44986.729166666664</v>
          </cell>
          <cell r="D78">
            <v>10.6457001953125</v>
          </cell>
          <cell r="E78">
            <v>9.1980175781250004</v>
          </cell>
          <cell r="F78">
            <v>10.883655273437499</v>
          </cell>
          <cell r="G78">
            <v>7.0656333007812497</v>
          </cell>
          <cell r="H78">
            <v>0</v>
          </cell>
          <cell r="I78">
            <v>4.18639697265625</v>
          </cell>
          <cell r="J78">
            <v>0</v>
          </cell>
          <cell r="K78">
            <v>4.18639697265625</v>
          </cell>
          <cell r="L78">
            <v>34.913770019531256</v>
          </cell>
          <cell r="N78">
            <v>19.17808203125</v>
          </cell>
          <cell r="O78">
            <v>11.021094726562501</v>
          </cell>
          <cell r="P78">
            <v>13.9815830078125</v>
          </cell>
          <cell r="Q78">
            <v>11.763056640625001</v>
          </cell>
          <cell r="R78">
            <v>55.943816406250001</v>
          </cell>
          <cell r="T78">
            <v>0</v>
          </cell>
          <cell r="U78">
            <v>25.460218749999999</v>
          </cell>
          <cell r="V78">
            <v>25.460218749999999</v>
          </cell>
          <cell r="X78">
            <v>17.983388671875002</v>
          </cell>
          <cell r="Y78">
            <v>18.567128906250002</v>
          </cell>
          <cell r="Z78">
            <v>12.364516601562499</v>
          </cell>
          <cell r="AA78">
            <v>1.445309326171875</v>
          </cell>
          <cell r="AB78">
            <v>50.360343505859376</v>
          </cell>
          <cell r="AD78">
            <v>0.51718377685546879</v>
          </cell>
          <cell r="AE78">
            <v>5.5323052406311031E-3</v>
          </cell>
        </row>
        <row r="79">
          <cell r="C79">
            <v>44986.739583333328</v>
          </cell>
          <cell r="D79">
            <v>10.57191015625</v>
          </cell>
          <cell r="E79">
            <v>9.1010937500000004</v>
          </cell>
          <cell r="F79">
            <v>9.732814453125</v>
          </cell>
          <cell r="G79">
            <v>6.9020175781250002</v>
          </cell>
          <cell r="H79">
            <v>0</v>
          </cell>
          <cell r="I79">
            <v>4.2339624023437503</v>
          </cell>
          <cell r="J79">
            <v>0</v>
          </cell>
          <cell r="K79">
            <v>4.2339624023437503</v>
          </cell>
          <cell r="L79">
            <v>33.639780761718747</v>
          </cell>
          <cell r="N79">
            <v>18.055681640625</v>
          </cell>
          <cell r="O79">
            <v>10.6367822265625</v>
          </cell>
          <cell r="P79">
            <v>13.535816406249999</v>
          </cell>
          <cell r="Q79">
            <v>11.215242187499999</v>
          </cell>
          <cell r="R79">
            <v>53.443522460937501</v>
          </cell>
          <cell r="T79">
            <v>0</v>
          </cell>
          <cell r="U79">
            <v>24.788074218750001</v>
          </cell>
          <cell r="V79">
            <v>24.788074218750001</v>
          </cell>
          <cell r="X79">
            <v>18.234175781249998</v>
          </cell>
          <cell r="Y79">
            <v>18.569556640624999</v>
          </cell>
          <cell r="Z79">
            <v>12.172698242187501</v>
          </cell>
          <cell r="AA79">
            <v>1.4519941406250001</v>
          </cell>
          <cell r="AB79">
            <v>50.428424804687495</v>
          </cell>
          <cell r="AD79">
            <v>0.5398954467773438</v>
          </cell>
          <cell r="AE79">
            <v>5.7052502632141113E-3</v>
          </cell>
        </row>
        <row r="80">
          <cell r="C80">
            <v>44986.75</v>
          </cell>
          <cell r="D80">
            <v>10.2890556640625</v>
          </cell>
          <cell r="E80">
            <v>8.9485292968749999</v>
          </cell>
          <cell r="F80">
            <v>9.2411943359375002</v>
          </cell>
          <cell r="G80">
            <v>6.7976982421874999</v>
          </cell>
          <cell r="H80">
            <v>0</v>
          </cell>
          <cell r="I80">
            <v>4.1560864257812504</v>
          </cell>
          <cell r="J80">
            <v>0</v>
          </cell>
          <cell r="K80">
            <v>4.1560864257812504</v>
          </cell>
          <cell r="L80">
            <v>32.634865722656251</v>
          </cell>
          <cell r="N80">
            <v>17.506978515625001</v>
          </cell>
          <cell r="O80">
            <v>10.179902343749999</v>
          </cell>
          <cell r="P80">
            <v>12.633050781250001</v>
          </cell>
          <cell r="Q80">
            <v>10.035290039062501</v>
          </cell>
          <cell r="R80">
            <v>50.355221679687503</v>
          </cell>
          <cell r="T80">
            <v>0</v>
          </cell>
          <cell r="U80">
            <v>25.183423828125001</v>
          </cell>
          <cell r="V80">
            <v>25.183423828125001</v>
          </cell>
          <cell r="X80">
            <v>18.599962890625001</v>
          </cell>
          <cell r="Y80">
            <v>18.567117187499999</v>
          </cell>
          <cell r="Z80">
            <v>12.080099609375001</v>
          </cell>
          <cell r="AA80">
            <v>1.4597858886718751</v>
          </cell>
          <cell r="AB80">
            <v>50.706965576171868</v>
          </cell>
          <cell r="AD80">
            <v>0.590324951171875</v>
          </cell>
          <cell r="AE80">
            <v>5.5221576690673829E-3</v>
          </cell>
        </row>
        <row r="81">
          <cell r="C81">
            <v>44986.760416666664</v>
          </cell>
          <cell r="D81">
            <v>10.11328125</v>
          </cell>
          <cell r="E81">
            <v>8.9103193359374995</v>
          </cell>
          <cell r="F81">
            <v>8.7572841796875007</v>
          </cell>
          <cell r="G81">
            <v>6.760703125</v>
          </cell>
          <cell r="H81">
            <v>0</v>
          </cell>
          <cell r="I81">
            <v>4.1481748046874998</v>
          </cell>
          <cell r="J81">
            <v>0</v>
          </cell>
          <cell r="K81">
            <v>4.1481748046874998</v>
          </cell>
          <cell r="L81">
            <v>31.9290595703125</v>
          </cell>
          <cell r="N81">
            <v>17.883326171875002</v>
          </cell>
          <cell r="O81">
            <v>9.3601777343750001</v>
          </cell>
          <cell r="P81">
            <v>12.281002929687499</v>
          </cell>
          <cell r="Q81">
            <v>9.3554404296874996</v>
          </cell>
          <cell r="R81">
            <v>48.879947265624999</v>
          </cell>
          <cell r="T81">
            <v>0.75026794433593746</v>
          </cell>
          <cell r="U81">
            <v>25.964468750000002</v>
          </cell>
          <cell r="V81">
            <v>26.71473669433594</v>
          </cell>
          <cell r="X81">
            <v>18.599771484375001</v>
          </cell>
          <cell r="Y81">
            <v>18.56712109375</v>
          </cell>
          <cell r="Z81">
            <v>11.7163173828125</v>
          </cell>
          <cell r="AA81">
            <v>1.4771110839843751</v>
          </cell>
          <cell r="AB81">
            <v>50.360321044921875</v>
          </cell>
          <cell r="AD81">
            <v>0.64799072265625002</v>
          </cell>
          <cell r="AE81">
            <v>5.2873001098632817E-3</v>
          </cell>
        </row>
        <row r="82">
          <cell r="C82">
            <v>44986.770833333328</v>
          </cell>
          <cell r="D82">
            <v>10.511870117187501</v>
          </cell>
          <cell r="E82">
            <v>9.2756953124999999</v>
          </cell>
          <cell r="F82">
            <v>8.8734511718750007</v>
          </cell>
          <cell r="G82">
            <v>6.6884267578124996</v>
          </cell>
          <cell r="H82">
            <v>0</v>
          </cell>
          <cell r="I82">
            <v>4.6158945312500004</v>
          </cell>
          <cell r="J82">
            <v>0</v>
          </cell>
          <cell r="K82">
            <v>4.6158945312500004</v>
          </cell>
          <cell r="L82">
            <v>33.276911132812501</v>
          </cell>
          <cell r="N82">
            <v>18.519962890624999</v>
          </cell>
          <cell r="O82">
            <v>7.4961083984375003</v>
          </cell>
          <cell r="P82">
            <v>12.450533203125</v>
          </cell>
          <cell r="Q82">
            <v>9.4144814453125001</v>
          </cell>
          <cell r="R82">
            <v>47.881085937500004</v>
          </cell>
          <cell r="T82">
            <v>0.91115051269531255</v>
          </cell>
          <cell r="U82">
            <v>26.042025390625</v>
          </cell>
          <cell r="V82">
            <v>26.953175903320311</v>
          </cell>
          <cell r="X82">
            <v>18.597261718750001</v>
          </cell>
          <cell r="Y82">
            <v>18.565730468750001</v>
          </cell>
          <cell r="Z82">
            <v>12.458240234374999</v>
          </cell>
          <cell r="AA82">
            <v>1.548580810546875</v>
          </cell>
          <cell r="AB82">
            <v>51.169813232421873</v>
          </cell>
          <cell r="AD82">
            <v>0.74246154785156249</v>
          </cell>
          <cell r="AE82">
            <v>5.0364685058593749E-3</v>
          </cell>
        </row>
        <row r="83">
          <cell r="C83">
            <v>44986.78125</v>
          </cell>
          <cell r="D83">
            <v>11.276876953125001</v>
          </cell>
          <cell r="E83">
            <v>9.9974697265624997</v>
          </cell>
          <cell r="F83">
            <v>9.26844140625</v>
          </cell>
          <cell r="G83">
            <v>6.8380146484375004</v>
          </cell>
          <cell r="H83">
            <v>0</v>
          </cell>
          <cell r="I83">
            <v>5.2931313476562503</v>
          </cell>
          <cell r="J83">
            <v>0</v>
          </cell>
          <cell r="K83">
            <v>5.2931313476562503</v>
          </cell>
          <cell r="L83">
            <v>35.835919433593745</v>
          </cell>
          <cell r="N83">
            <v>19.488482421874998</v>
          </cell>
          <cell r="O83">
            <v>7.0894873046875002</v>
          </cell>
          <cell r="P83">
            <v>13.733723632812501</v>
          </cell>
          <cell r="Q83">
            <v>10.45542578125</v>
          </cell>
          <cell r="R83">
            <v>50.767119140624999</v>
          </cell>
          <cell r="T83">
            <v>0.91181671142578125</v>
          </cell>
          <cell r="U83">
            <v>28.398939453124999</v>
          </cell>
          <cell r="V83">
            <v>29.310756164550781</v>
          </cell>
          <cell r="X83">
            <v>18.595068359374999</v>
          </cell>
          <cell r="Y83">
            <v>18.566832031250001</v>
          </cell>
          <cell r="Z83">
            <v>13.0786982421875</v>
          </cell>
          <cell r="AA83">
            <v>1.7157200927734375</v>
          </cell>
          <cell r="AB83">
            <v>51.956318725585938</v>
          </cell>
          <cell r="AD83">
            <v>0.82286126708984375</v>
          </cell>
          <cell r="AE83">
            <v>4.821924209594727E-3</v>
          </cell>
        </row>
        <row r="84">
          <cell r="C84">
            <v>44986.791666666664</v>
          </cell>
          <cell r="D84">
            <v>11.506001953125001</v>
          </cell>
          <cell r="E84">
            <v>10.217009765625001</v>
          </cell>
          <cell r="F84">
            <v>9.4550068359374997</v>
          </cell>
          <cell r="G84">
            <v>6.8051123046875004</v>
          </cell>
          <cell r="H84">
            <v>0</v>
          </cell>
          <cell r="I84">
            <v>5.5584038085937504</v>
          </cell>
          <cell r="J84">
            <v>0</v>
          </cell>
          <cell r="K84">
            <v>5.5584038085937504</v>
          </cell>
          <cell r="L84">
            <v>36.73642236328125</v>
          </cell>
          <cell r="N84">
            <v>20.433349609375</v>
          </cell>
          <cell r="O84">
            <v>7.2023266601562499</v>
          </cell>
          <cell r="P84">
            <v>14.617224609375</v>
          </cell>
          <cell r="Q84">
            <v>11.218606445312499</v>
          </cell>
          <cell r="R84">
            <v>53.471507324218749</v>
          </cell>
          <cell r="T84">
            <v>0.9110110473632812</v>
          </cell>
          <cell r="U84">
            <v>30.236255859374999</v>
          </cell>
          <cell r="V84">
            <v>31.147266906738281</v>
          </cell>
          <cell r="X84">
            <v>18.594349609375001</v>
          </cell>
          <cell r="Y84">
            <v>18.56778515625</v>
          </cell>
          <cell r="Z84">
            <v>13.4083271484375</v>
          </cell>
          <cell r="AA84">
            <v>1.8464613037109374</v>
          </cell>
          <cell r="AB84">
            <v>52.416923217773437</v>
          </cell>
          <cell r="AD84">
            <v>0.86872247314453122</v>
          </cell>
          <cell r="AE84">
            <v>4.6238174438476562E-3</v>
          </cell>
        </row>
        <row r="85">
          <cell r="C85">
            <v>44986.802083333328</v>
          </cell>
          <cell r="D85">
            <v>11.421288085937499</v>
          </cell>
          <cell r="E85">
            <v>10.127509765625</v>
          </cell>
          <cell r="F85">
            <v>9.8904208984374993</v>
          </cell>
          <cell r="G85">
            <v>7.0049428710937498</v>
          </cell>
          <cell r="H85">
            <v>0</v>
          </cell>
          <cell r="I85">
            <v>5.2829521484375004</v>
          </cell>
          <cell r="J85">
            <v>0</v>
          </cell>
          <cell r="K85">
            <v>5.2829521484375004</v>
          </cell>
          <cell r="L85">
            <v>36.722170898437497</v>
          </cell>
          <cell r="N85">
            <v>20.458312500000002</v>
          </cell>
          <cell r="O85">
            <v>7.3297485351562504</v>
          </cell>
          <cell r="P85">
            <v>15.070074218749999</v>
          </cell>
          <cell r="Q85">
            <v>11.560717773437499</v>
          </cell>
          <cell r="R85">
            <v>54.418853027343758</v>
          </cell>
          <cell r="T85">
            <v>0.91176898193359379</v>
          </cell>
          <cell r="U85">
            <v>30.907980468750001</v>
          </cell>
          <cell r="V85">
            <v>31.819749450683595</v>
          </cell>
          <cell r="X85">
            <v>18.595115234375001</v>
          </cell>
          <cell r="Y85">
            <v>18.569064453125002</v>
          </cell>
          <cell r="Z85">
            <v>13.5441728515625</v>
          </cell>
          <cell r="AA85">
            <v>1.9157137451171875</v>
          </cell>
          <cell r="AB85">
            <v>52.62406628417969</v>
          </cell>
          <cell r="AD85">
            <v>0.88491210937499998</v>
          </cell>
          <cell r="AE85">
            <v>4.3857288360595707E-3</v>
          </cell>
        </row>
        <row r="86">
          <cell r="C86">
            <v>44986.8125</v>
          </cell>
          <cell r="D86">
            <v>11.3936484375</v>
          </cell>
          <cell r="E86">
            <v>10.101466796875</v>
          </cell>
          <cell r="F86">
            <v>9.9188437500000006</v>
          </cell>
          <cell r="G86">
            <v>7.08024365234375</v>
          </cell>
          <cell r="H86">
            <v>0</v>
          </cell>
          <cell r="I86">
            <v>5.1900356445312497</v>
          </cell>
          <cell r="J86">
            <v>0</v>
          </cell>
          <cell r="K86">
            <v>5.1900356445312497</v>
          </cell>
          <cell r="L86">
            <v>36.60399462890625</v>
          </cell>
          <cell r="N86">
            <v>20.534132812500001</v>
          </cell>
          <cell r="O86">
            <v>7.5287895507812497</v>
          </cell>
          <cell r="P86">
            <v>15.2997412109375</v>
          </cell>
          <cell r="Q86">
            <v>11.769010742187501</v>
          </cell>
          <cell r="R86">
            <v>55.131674316406247</v>
          </cell>
          <cell r="T86">
            <v>0.91162988281250001</v>
          </cell>
          <cell r="U86">
            <v>31.269162109374999</v>
          </cell>
          <cell r="V86">
            <v>32.180791992187501</v>
          </cell>
          <cell r="X86">
            <v>18.595416015624998</v>
          </cell>
          <cell r="Y86">
            <v>18.570115234374999</v>
          </cell>
          <cell r="Z86">
            <v>13.4952646484375</v>
          </cell>
          <cell r="AA86">
            <v>1.93924169921875</v>
          </cell>
          <cell r="AB86">
            <v>52.600037597656247</v>
          </cell>
          <cell r="AD86">
            <v>0.89314831542968753</v>
          </cell>
          <cell r="AE86">
            <v>4.2035174369812016E-3</v>
          </cell>
        </row>
        <row r="87">
          <cell r="C87">
            <v>44986.822916666664</v>
          </cell>
          <cell r="D87">
            <v>11.37901171875</v>
          </cell>
          <cell r="E87">
            <v>10.113208984374999</v>
          </cell>
          <cell r="F87">
            <v>9.8381767578124997</v>
          </cell>
          <cell r="G87">
            <v>7.1026435546875</v>
          </cell>
          <cell r="H87">
            <v>0</v>
          </cell>
          <cell r="I87">
            <v>5.18510205078125</v>
          </cell>
          <cell r="J87">
            <v>0</v>
          </cell>
          <cell r="K87">
            <v>5.18510205078125</v>
          </cell>
          <cell r="L87">
            <v>36.515499511718744</v>
          </cell>
          <cell r="N87">
            <v>20.689935546874999</v>
          </cell>
          <cell r="O87">
            <v>7.4619331054687503</v>
          </cell>
          <cell r="P87">
            <v>15.304675781249999</v>
          </cell>
          <cell r="Q87">
            <v>11.8180087890625</v>
          </cell>
          <cell r="R87">
            <v>55.274553222656252</v>
          </cell>
          <cell r="T87">
            <v>0.91060705566406253</v>
          </cell>
          <cell r="U87">
            <v>31.586755859375</v>
          </cell>
          <cell r="V87">
            <v>32.497362915039062</v>
          </cell>
          <cell r="X87">
            <v>18.593904296874999</v>
          </cell>
          <cell r="Y87">
            <v>18.570683593750001</v>
          </cell>
          <cell r="Z87">
            <v>13.713154296875</v>
          </cell>
          <cell r="AA87">
            <v>1.9332370605468749</v>
          </cell>
          <cell r="AB87">
            <v>52.810979248046877</v>
          </cell>
          <cell r="AD87">
            <v>0.89119543457031247</v>
          </cell>
          <cell r="AE87">
            <v>4.1547398567199703E-3</v>
          </cell>
        </row>
        <row r="88">
          <cell r="C88">
            <v>44986.833333333328</v>
          </cell>
          <cell r="D88">
            <v>11.282744140625001</v>
          </cell>
          <cell r="E88">
            <v>10.021940429687501</v>
          </cell>
          <cell r="F88">
            <v>9.8040742187499994</v>
          </cell>
          <cell r="G88">
            <v>7.14663671875</v>
          </cell>
          <cell r="H88">
            <v>0</v>
          </cell>
          <cell r="I88">
            <v>5.0458745117187496</v>
          </cell>
          <cell r="J88">
            <v>0</v>
          </cell>
          <cell r="K88">
            <v>5.0458745117187496</v>
          </cell>
          <cell r="L88">
            <v>36.154633300781249</v>
          </cell>
          <cell r="N88">
            <v>20.61678515625</v>
          </cell>
          <cell r="O88">
            <v>7.2425805664062501</v>
          </cell>
          <cell r="P88">
            <v>15.2422666015625</v>
          </cell>
          <cell r="Q88">
            <v>11.7553701171875</v>
          </cell>
          <cell r="R88">
            <v>54.857002441406252</v>
          </cell>
          <cell r="T88">
            <v>0.84320910644531255</v>
          </cell>
          <cell r="U88">
            <v>31.602826171875002</v>
          </cell>
          <cell r="V88">
            <v>32.446035278320316</v>
          </cell>
          <cell r="X88">
            <v>18.593777343749998</v>
          </cell>
          <cell r="Y88">
            <v>18.559412109375</v>
          </cell>
          <cell r="Z88">
            <v>13.66787109375</v>
          </cell>
          <cell r="AA88">
            <v>1.9608525390625</v>
          </cell>
          <cell r="AB88">
            <v>52.781913085937497</v>
          </cell>
          <cell r="AD88">
            <v>0.88411389160156251</v>
          </cell>
          <cell r="AE88">
            <v>3.8476824760437013E-3</v>
          </cell>
        </row>
        <row r="89">
          <cell r="C89">
            <v>44986.84375</v>
          </cell>
          <cell r="D89">
            <v>11.057438476562499</v>
          </cell>
          <cell r="E89">
            <v>9.8270693359374999</v>
          </cell>
          <cell r="F89">
            <v>9.7037763671874995</v>
          </cell>
          <cell r="G89">
            <v>7.1022460937499998</v>
          </cell>
          <cell r="H89">
            <v>0</v>
          </cell>
          <cell r="I89">
            <v>4.8653071289062497</v>
          </cell>
          <cell r="J89">
            <v>0</v>
          </cell>
          <cell r="K89">
            <v>4.8653071289062497</v>
          </cell>
          <cell r="L89">
            <v>35.453591308593744</v>
          </cell>
          <cell r="N89">
            <v>20.409398437499998</v>
          </cell>
          <cell r="O89">
            <v>7.1814448242187501</v>
          </cell>
          <cell r="P89">
            <v>15.0804609375</v>
          </cell>
          <cell r="Q89">
            <v>11.652067382812501</v>
          </cell>
          <cell r="R89">
            <v>54.323371582031257</v>
          </cell>
          <cell r="T89">
            <v>0</v>
          </cell>
          <cell r="U89">
            <v>32.38187109375</v>
          </cell>
          <cell r="V89">
            <v>32.38187109375</v>
          </cell>
          <cell r="X89">
            <v>18.593076171875001</v>
          </cell>
          <cell r="Y89">
            <v>18.572337890625001</v>
          </cell>
          <cell r="Z89">
            <v>13.636288085937499</v>
          </cell>
          <cell r="AA89">
            <v>1.9539237060546875</v>
          </cell>
          <cell r="AB89">
            <v>52.755625854492195</v>
          </cell>
          <cell r="AD89">
            <v>0.86235778808593755</v>
          </cell>
          <cell r="AE89">
            <v>3.6896054744720457E-3</v>
          </cell>
        </row>
        <row r="90">
          <cell r="C90">
            <v>44986.854166666664</v>
          </cell>
          <cell r="D90">
            <v>11.1339208984375</v>
          </cell>
          <cell r="E90">
            <v>9.8989951171874999</v>
          </cell>
          <cell r="F90">
            <v>9.6744453124999996</v>
          </cell>
          <cell r="G90">
            <v>6.9163281249999997</v>
          </cell>
          <cell r="H90">
            <v>0</v>
          </cell>
          <cell r="I90">
            <v>5.1043271484375001</v>
          </cell>
          <cell r="J90">
            <v>0</v>
          </cell>
          <cell r="K90">
            <v>5.1043271484375001</v>
          </cell>
          <cell r="L90">
            <v>35.811688476562502</v>
          </cell>
          <cell r="N90">
            <v>20.405130859374999</v>
          </cell>
          <cell r="O90">
            <v>7.195970703125</v>
          </cell>
          <cell r="P90">
            <v>15.118254882812501</v>
          </cell>
          <cell r="Q90">
            <v>11.7028115234375</v>
          </cell>
          <cell r="R90">
            <v>54.422167968750003</v>
          </cell>
          <cell r="T90">
            <v>0</v>
          </cell>
          <cell r="U90">
            <v>33.412730468749999</v>
          </cell>
          <cell r="V90">
            <v>33.412730468749999</v>
          </cell>
          <cell r="X90">
            <v>18.595482421875001</v>
          </cell>
          <cell r="Y90">
            <v>18.579617187499998</v>
          </cell>
          <cell r="Z90">
            <v>13.45783203125</v>
          </cell>
          <cell r="AA90">
            <v>1.9506075439453125</v>
          </cell>
          <cell r="AB90">
            <v>52.583539184570306</v>
          </cell>
          <cell r="AD90">
            <v>0.8479131469726563</v>
          </cell>
          <cell r="AE90">
            <v>3.4258522987365724E-3</v>
          </cell>
        </row>
        <row r="91">
          <cell r="C91">
            <v>44986.864583333328</v>
          </cell>
          <cell r="D91">
            <v>10.969258789062501</v>
          </cell>
          <cell r="E91">
            <v>9.7751064453125007</v>
          </cell>
          <cell r="F91">
            <v>9.6635624999999994</v>
          </cell>
          <cell r="G91">
            <v>6.8924570312500002</v>
          </cell>
          <cell r="H91">
            <v>0</v>
          </cell>
          <cell r="I91">
            <v>4.9848696289062504</v>
          </cell>
          <cell r="J91">
            <v>0</v>
          </cell>
          <cell r="K91">
            <v>4.9848696289062504</v>
          </cell>
          <cell r="L91">
            <v>35.392797363281247</v>
          </cell>
          <cell r="N91">
            <v>20.496761718750001</v>
          </cell>
          <cell r="O91">
            <v>7.0992104492187504</v>
          </cell>
          <cell r="P91">
            <v>14.778700195312499</v>
          </cell>
          <cell r="Q91">
            <v>11.39381640625</v>
          </cell>
          <cell r="R91">
            <v>53.768488769531245</v>
          </cell>
          <cell r="T91">
            <v>0</v>
          </cell>
          <cell r="U91">
            <v>32.93823046875</v>
          </cell>
          <cell r="V91">
            <v>32.93823046875</v>
          </cell>
          <cell r="X91">
            <v>18.59315625</v>
          </cell>
          <cell r="Y91">
            <v>18.584966796875001</v>
          </cell>
          <cell r="Z91">
            <v>13.453502929687501</v>
          </cell>
          <cell r="AA91">
            <v>1.9425810546875</v>
          </cell>
          <cell r="AB91">
            <v>52.574207031250005</v>
          </cell>
          <cell r="AD91">
            <v>0.83636938476562495</v>
          </cell>
          <cell r="AE91">
            <v>3.1952207088470461E-3</v>
          </cell>
        </row>
        <row r="92">
          <cell r="C92">
            <v>44986.875</v>
          </cell>
          <cell r="D92">
            <v>10.8015068359375</v>
          </cell>
          <cell r="E92">
            <v>9.6214755859374996</v>
          </cell>
          <cell r="F92">
            <v>9.6554277343749995</v>
          </cell>
          <cell r="G92">
            <v>6.95088427734375</v>
          </cell>
          <cell r="H92">
            <v>0</v>
          </cell>
          <cell r="I92">
            <v>4.7618989257812503</v>
          </cell>
          <cell r="J92">
            <v>0</v>
          </cell>
          <cell r="K92">
            <v>4.7618989257812503</v>
          </cell>
          <cell r="L92">
            <v>34.840309082031247</v>
          </cell>
          <cell r="N92">
            <v>20.711835937499998</v>
          </cell>
          <cell r="O92">
            <v>7.0743256835937496</v>
          </cell>
          <cell r="P92">
            <v>14.662949218750001</v>
          </cell>
          <cell r="Q92">
            <v>11.320629882812501</v>
          </cell>
          <cell r="R92">
            <v>53.769740722656252</v>
          </cell>
          <cell r="T92">
            <v>0</v>
          </cell>
          <cell r="U92">
            <v>33.261703124999997</v>
          </cell>
          <cell r="V92">
            <v>33.261703124999997</v>
          </cell>
          <cell r="X92">
            <v>18.594482421875</v>
          </cell>
          <cell r="Y92">
            <v>18.586433593750002</v>
          </cell>
          <cell r="Z92">
            <v>13.4196962890625</v>
          </cell>
          <cell r="AA92">
            <v>1.9088752441406249</v>
          </cell>
          <cell r="AB92">
            <v>52.509487548828126</v>
          </cell>
          <cell r="AD92">
            <v>0.81962799072265624</v>
          </cell>
          <cell r="AE92">
            <v>2.9016940593719481E-3</v>
          </cell>
        </row>
        <row r="93">
          <cell r="C93">
            <v>44986.885416666664</v>
          </cell>
          <cell r="D93">
            <v>10.5858701171875</v>
          </cell>
          <cell r="E93">
            <v>9.4157470703125004</v>
          </cell>
          <cell r="F93">
            <v>9.6670146484374992</v>
          </cell>
          <cell r="G93">
            <v>7.1216503906249997</v>
          </cell>
          <cell r="H93">
            <v>0</v>
          </cell>
          <cell r="I93">
            <v>4.3872475585937503</v>
          </cell>
          <cell r="J93">
            <v>0</v>
          </cell>
          <cell r="K93">
            <v>4.3872475585937503</v>
          </cell>
          <cell r="L93">
            <v>34.055879394531246</v>
          </cell>
          <cell r="N93">
            <v>21.261199218750001</v>
          </cell>
          <cell r="O93">
            <v>7.1244155273437499</v>
          </cell>
          <cell r="P93">
            <v>14.459978515625</v>
          </cell>
          <cell r="Q93">
            <v>11.243248046874999</v>
          </cell>
          <cell r="R93">
            <v>54.088841308593743</v>
          </cell>
          <cell r="T93">
            <v>0</v>
          </cell>
          <cell r="U93">
            <v>33.3891953125</v>
          </cell>
          <cell r="V93">
            <v>33.3891953125</v>
          </cell>
          <cell r="X93">
            <v>18.592931640625</v>
          </cell>
          <cell r="Y93">
            <v>18.584951171875002</v>
          </cell>
          <cell r="Z93">
            <v>13.418828124999999</v>
          </cell>
          <cell r="AA93">
            <v>1.864119384765625</v>
          </cell>
          <cell r="AB93">
            <v>52.460830322265622</v>
          </cell>
          <cell r="AD93">
            <v>0.78337646484375001</v>
          </cell>
          <cell r="AE93">
            <v>2.5093605518341066E-3</v>
          </cell>
        </row>
        <row r="94">
          <cell r="C94">
            <v>44986.895833333328</v>
          </cell>
          <cell r="D94">
            <v>10.353044921875</v>
          </cell>
          <cell r="E94">
            <v>9.1859765625000005</v>
          </cell>
          <cell r="F94">
            <v>9.5892373046875008</v>
          </cell>
          <cell r="G94">
            <v>7.1523154296874996</v>
          </cell>
          <cell r="H94">
            <v>0</v>
          </cell>
          <cell r="I94">
            <v>4.1048984375000002</v>
          </cell>
          <cell r="J94">
            <v>0</v>
          </cell>
          <cell r="K94">
            <v>4.1048984375000002</v>
          </cell>
          <cell r="L94">
            <v>33.233157226562504</v>
          </cell>
          <cell r="N94">
            <v>21.66080078125</v>
          </cell>
          <cell r="O94">
            <v>6.98308447265625</v>
          </cell>
          <cell r="P94">
            <v>14.330692382812501</v>
          </cell>
          <cell r="Q94">
            <v>11.127889648437501</v>
          </cell>
          <cell r="R94">
            <v>54.102467285156251</v>
          </cell>
          <cell r="T94">
            <v>0</v>
          </cell>
          <cell r="U94">
            <v>33.316464843749998</v>
          </cell>
          <cell r="V94">
            <v>33.316464843749998</v>
          </cell>
          <cell r="X94">
            <v>18.593787109375</v>
          </cell>
          <cell r="Y94">
            <v>18.588285156249999</v>
          </cell>
          <cell r="Z94">
            <v>13.316494140625</v>
          </cell>
          <cell r="AA94">
            <v>1.9098428955078126</v>
          </cell>
          <cell r="AB94">
            <v>52.408409301757807</v>
          </cell>
          <cell r="AD94">
            <v>0.77533862304687495</v>
          </cell>
          <cell r="AE94">
            <v>2.3160181045532228E-3</v>
          </cell>
        </row>
        <row r="95">
          <cell r="C95">
            <v>44986.90625</v>
          </cell>
          <cell r="D95">
            <v>10.087737304687501</v>
          </cell>
          <cell r="E95">
            <v>8.9437636718750007</v>
          </cell>
          <cell r="F95">
            <v>9.5265644531249993</v>
          </cell>
          <cell r="G95">
            <v>7.1685917968749999</v>
          </cell>
          <cell r="H95">
            <v>0</v>
          </cell>
          <cell r="I95">
            <v>3.8221184082031252</v>
          </cell>
          <cell r="J95">
            <v>0</v>
          </cell>
          <cell r="K95">
            <v>3.8221184082031252</v>
          </cell>
          <cell r="L95">
            <v>32.380183837890627</v>
          </cell>
          <cell r="N95">
            <v>21.667720703124999</v>
          </cell>
          <cell r="O95">
            <v>6.9637709960937499</v>
          </cell>
          <cell r="P95">
            <v>13.8951875</v>
          </cell>
          <cell r="Q95">
            <v>10.794783203125</v>
          </cell>
          <cell r="R95">
            <v>53.321462402343748</v>
          </cell>
          <cell r="T95">
            <v>0</v>
          </cell>
          <cell r="U95">
            <v>32.717058593749996</v>
          </cell>
          <cell r="V95">
            <v>32.717058593749996</v>
          </cell>
          <cell r="X95">
            <v>18.5944453125</v>
          </cell>
          <cell r="Y95">
            <v>18.589216796875</v>
          </cell>
          <cell r="Z95">
            <v>13.10309765625</v>
          </cell>
          <cell r="AA95">
            <v>1.8713253173828126</v>
          </cell>
          <cell r="AB95">
            <v>52.158085083007812</v>
          </cell>
          <cell r="AD95">
            <v>0.74821429443359377</v>
          </cell>
          <cell r="AE95">
            <v>2.2369675636291506E-3</v>
          </cell>
        </row>
        <row r="96">
          <cell r="C96">
            <v>44986.916666666664</v>
          </cell>
          <cell r="D96">
            <v>9.7715927734375008</v>
          </cell>
          <cell r="E96">
            <v>8.6527197265625002</v>
          </cell>
          <cell r="F96">
            <v>9.3969931640625006</v>
          </cell>
          <cell r="G96">
            <v>7.1229272460937496</v>
          </cell>
          <cell r="H96">
            <v>0</v>
          </cell>
          <cell r="I96">
            <v>3.5360908203124999</v>
          </cell>
          <cell r="J96">
            <v>0</v>
          </cell>
          <cell r="K96">
            <v>3.5360908203124999</v>
          </cell>
          <cell r="L96">
            <v>31.357396484375002</v>
          </cell>
          <cell r="N96">
            <v>21.350947265624999</v>
          </cell>
          <cell r="O96">
            <v>9.0353925781250002</v>
          </cell>
          <cell r="P96">
            <v>13.6128876953125</v>
          </cell>
          <cell r="Q96">
            <v>10.567780273437499</v>
          </cell>
          <cell r="R96">
            <v>54.567007812500002</v>
          </cell>
          <cell r="T96">
            <v>0</v>
          </cell>
          <cell r="U96">
            <v>31.831468749999999</v>
          </cell>
          <cell r="V96">
            <v>31.831468749999999</v>
          </cell>
          <cell r="X96">
            <v>18.592599609375</v>
          </cell>
          <cell r="Y96">
            <v>18.588511718749999</v>
          </cell>
          <cell r="Z96">
            <v>13.032795898437501</v>
          </cell>
          <cell r="AA96">
            <v>1.7946776123046875</v>
          </cell>
          <cell r="AB96">
            <v>52.008584838867186</v>
          </cell>
          <cell r="AD96">
            <v>0.72095495605468751</v>
          </cell>
          <cell r="AE96">
            <v>2.1508982181549074E-3</v>
          </cell>
        </row>
        <row r="97">
          <cell r="C97">
            <v>44986.927083333328</v>
          </cell>
          <cell r="D97">
            <v>9.3264404296874996</v>
          </cell>
          <cell r="E97">
            <v>8.2472480468750007</v>
          </cell>
          <cell r="F97">
            <v>9.2825917968749998</v>
          </cell>
          <cell r="G97">
            <v>7.2710083007812498</v>
          </cell>
          <cell r="H97">
            <v>0</v>
          </cell>
          <cell r="I97">
            <v>2.9616013183593748</v>
          </cell>
          <cell r="J97">
            <v>0</v>
          </cell>
          <cell r="K97">
            <v>2.9616013183593748</v>
          </cell>
          <cell r="L97">
            <v>29.817881591796876</v>
          </cell>
          <cell r="N97">
            <v>21.273220703124998</v>
          </cell>
          <cell r="O97">
            <v>9.7468164062499998</v>
          </cell>
          <cell r="P97">
            <v>13.004320312500001</v>
          </cell>
          <cell r="Q97">
            <v>10.0655966796875</v>
          </cell>
          <cell r="R97">
            <v>54.089954101562498</v>
          </cell>
          <cell r="T97">
            <v>0</v>
          </cell>
          <cell r="U97">
            <v>31.158005859374999</v>
          </cell>
          <cell r="V97">
            <v>31.158005859374999</v>
          </cell>
          <cell r="X97">
            <v>18.592468749999998</v>
          </cell>
          <cell r="Y97">
            <v>18.590619140625002</v>
          </cell>
          <cell r="Z97">
            <v>12.7135791015625</v>
          </cell>
          <cell r="AA97">
            <v>1.7255413818359375</v>
          </cell>
          <cell r="AB97">
            <v>51.622208374023444</v>
          </cell>
          <cell r="AD97">
            <v>0.69647015380859378</v>
          </cell>
          <cell r="AE97">
            <v>2.0833988189697264E-3</v>
          </cell>
        </row>
        <row r="98">
          <cell r="C98">
            <v>44986.9375</v>
          </cell>
          <cell r="D98">
            <v>8.9045751953124999</v>
          </cell>
          <cell r="E98">
            <v>7.8744282226562499</v>
          </cell>
          <cell r="F98">
            <v>9.2426025390624993</v>
          </cell>
          <cell r="G98">
            <v>7.3285683593749997</v>
          </cell>
          <cell r="H98">
            <v>0</v>
          </cell>
          <cell r="I98">
            <v>2.4952856445312501</v>
          </cell>
          <cell r="J98">
            <v>0</v>
          </cell>
          <cell r="K98">
            <v>2.4952856445312501</v>
          </cell>
          <cell r="L98">
            <v>28.516891601562499</v>
          </cell>
          <cell r="N98">
            <v>21.305189453124999</v>
          </cell>
          <cell r="O98">
            <v>9.626857421875</v>
          </cell>
          <cell r="P98">
            <v>12.436231445312499</v>
          </cell>
          <cell r="Q98">
            <v>9.5668847656249998</v>
          </cell>
          <cell r="R98">
            <v>52.935163085937496</v>
          </cell>
          <cell r="T98">
            <v>0</v>
          </cell>
          <cell r="U98">
            <v>30.949189453125001</v>
          </cell>
          <cell r="V98">
            <v>30.949189453125001</v>
          </cell>
          <cell r="X98">
            <v>18.59354296875</v>
          </cell>
          <cell r="Y98">
            <v>18.593710937499999</v>
          </cell>
          <cell r="Z98">
            <v>12.339953124999999</v>
          </cell>
          <cell r="AA98">
            <v>1.6588098144531249</v>
          </cell>
          <cell r="AB98">
            <v>51.186016845703122</v>
          </cell>
          <cell r="AD98">
            <v>0.67499182128906254</v>
          </cell>
          <cell r="AE98">
            <v>1.9753500223159792E-3</v>
          </cell>
        </row>
        <row r="99">
          <cell r="C99">
            <v>44986.947916666664</v>
          </cell>
          <cell r="D99">
            <v>8.6472177734375002</v>
          </cell>
          <cell r="E99">
            <v>7.61145458984375</v>
          </cell>
          <cell r="F99">
            <v>9.0187841796875006</v>
          </cell>
          <cell r="G99">
            <v>7.3105498046874997</v>
          </cell>
          <cell r="H99">
            <v>0</v>
          </cell>
          <cell r="I99">
            <v>2.2200363769531251</v>
          </cell>
          <cell r="J99">
            <v>0</v>
          </cell>
          <cell r="K99">
            <v>2.2200363769531251</v>
          </cell>
          <cell r="L99">
            <v>27.497492919921875</v>
          </cell>
          <cell r="N99">
            <v>20.971230468750001</v>
          </cell>
          <cell r="O99">
            <v>9.5277421874999995</v>
          </cell>
          <cell r="P99">
            <v>12.0440419921875</v>
          </cell>
          <cell r="Q99">
            <v>9.2408437499999998</v>
          </cell>
          <cell r="R99">
            <v>51.783858398437502</v>
          </cell>
          <cell r="T99">
            <v>0</v>
          </cell>
          <cell r="U99">
            <v>30.610806640625</v>
          </cell>
          <cell r="V99">
            <v>30.610806640625</v>
          </cell>
          <cell r="X99">
            <v>18.593232421875001</v>
          </cell>
          <cell r="Y99">
            <v>18.595312499999999</v>
          </cell>
          <cell r="Z99">
            <v>12.000414062500001</v>
          </cell>
          <cell r="AA99">
            <v>1.6059785156249999</v>
          </cell>
          <cell r="AB99">
            <v>50.794937499999996</v>
          </cell>
          <cell r="AD99">
            <v>0.65652838134765623</v>
          </cell>
          <cell r="AE99">
            <v>2.0126473903656007E-3</v>
          </cell>
        </row>
        <row r="100">
          <cell r="C100">
            <v>44986.958333333328</v>
          </cell>
          <cell r="D100">
            <v>8.2197978515625003</v>
          </cell>
          <cell r="E100">
            <v>7.2274599609374999</v>
          </cell>
          <cell r="F100">
            <v>8.8042597656249999</v>
          </cell>
          <cell r="G100">
            <v>7.3298149414062497</v>
          </cell>
          <cell r="H100">
            <v>0</v>
          </cell>
          <cell r="I100">
            <v>1.7761606445312501</v>
          </cell>
          <cell r="J100">
            <v>0</v>
          </cell>
          <cell r="K100">
            <v>1.7761606445312501</v>
          </cell>
          <cell r="L100">
            <v>26.027678222656249</v>
          </cell>
          <cell r="N100">
            <v>20.35459765625</v>
          </cell>
          <cell r="O100">
            <v>9.3992548828124995</v>
          </cell>
          <cell r="P100">
            <v>11.287765625</v>
          </cell>
          <cell r="Q100">
            <v>8.6415253906250005</v>
          </cell>
          <cell r="R100">
            <v>49.683143554687497</v>
          </cell>
          <cell r="T100">
            <v>0</v>
          </cell>
          <cell r="U100">
            <v>30.304101562500001</v>
          </cell>
          <cell r="V100">
            <v>30.304101562500001</v>
          </cell>
          <cell r="X100">
            <v>18.593222656249999</v>
          </cell>
          <cell r="Y100">
            <v>18.593154296874999</v>
          </cell>
          <cell r="Z100">
            <v>11.8696923828125</v>
          </cell>
          <cell r="AA100">
            <v>1.5362883300781249</v>
          </cell>
          <cell r="AB100">
            <v>50.592357666015623</v>
          </cell>
          <cell r="AD100">
            <v>0.63172631835937498</v>
          </cell>
          <cell r="AE100">
            <v>2.0406010150909423E-3</v>
          </cell>
        </row>
        <row r="101">
          <cell r="C101">
            <v>44986.96875</v>
          </cell>
          <cell r="D101">
            <v>7.9106074218750004</v>
          </cell>
          <cell r="E101">
            <v>6.9111206054687502</v>
          </cell>
          <cell r="F101">
            <v>8.5798144531249996</v>
          </cell>
          <cell r="G101">
            <v>7.2199321289062501</v>
          </cell>
          <cell r="H101">
            <v>0</v>
          </cell>
          <cell r="I101">
            <v>1.5170693359375</v>
          </cell>
          <cell r="J101">
            <v>0</v>
          </cell>
          <cell r="K101">
            <v>1.5170693359375</v>
          </cell>
          <cell r="L101">
            <v>24.918611816406248</v>
          </cell>
          <cell r="N101">
            <v>19.804906249999998</v>
          </cell>
          <cell r="O101">
            <v>9.5495000000000001</v>
          </cell>
          <cell r="P101">
            <v>10.82394140625</v>
          </cell>
          <cell r="Q101">
            <v>8.3713134765625004</v>
          </cell>
          <cell r="R101">
            <v>48.549661132812496</v>
          </cell>
          <cell r="T101">
            <v>0</v>
          </cell>
          <cell r="U101">
            <v>30.077935546875</v>
          </cell>
          <cell r="V101">
            <v>30.077935546875</v>
          </cell>
          <cell r="X101">
            <v>18.592681640624999</v>
          </cell>
          <cell r="Y101">
            <v>18.594150390625</v>
          </cell>
          <cell r="Z101">
            <v>11.6806728515625</v>
          </cell>
          <cell r="AA101">
            <v>1.4989659423828126</v>
          </cell>
          <cell r="AB101">
            <v>50.366470825195307</v>
          </cell>
          <cell r="AD101">
            <v>0.61881762695312503</v>
          </cell>
          <cell r="AE101">
            <v>2.1405351161956788E-3</v>
          </cell>
        </row>
        <row r="102">
          <cell r="C102">
            <v>44986.979166666664</v>
          </cell>
          <cell r="D102">
            <v>7.7994091796875002</v>
          </cell>
          <cell r="E102">
            <v>6.7817998046875001</v>
          </cell>
          <cell r="F102">
            <v>8.4494609374999996</v>
          </cell>
          <cell r="G102">
            <v>7.006517578125</v>
          </cell>
          <cell r="H102">
            <v>0</v>
          </cell>
          <cell r="I102">
            <v>1.5527637939453125</v>
          </cell>
          <cell r="J102">
            <v>0</v>
          </cell>
          <cell r="K102">
            <v>1.5527637939453125</v>
          </cell>
          <cell r="L102">
            <v>24.583433715820313</v>
          </cell>
          <cell r="N102">
            <v>19.575291015625002</v>
          </cell>
          <cell r="O102">
            <v>9.7135917968750007</v>
          </cell>
          <cell r="P102">
            <v>10.764079101562499</v>
          </cell>
          <cell r="Q102">
            <v>8.4870097656250003</v>
          </cell>
          <cell r="R102">
            <v>48.539971679687497</v>
          </cell>
          <cell r="T102">
            <v>0</v>
          </cell>
          <cell r="U102">
            <v>29.6145</v>
          </cell>
          <cell r="V102">
            <v>29.6145</v>
          </cell>
          <cell r="X102">
            <v>18.000126953125001</v>
          </cell>
          <cell r="Y102">
            <v>18.037162109375</v>
          </cell>
          <cell r="Z102">
            <v>11.158799804687501</v>
          </cell>
          <cell r="AA102">
            <v>1.4543833007812501</v>
          </cell>
          <cell r="AB102">
            <v>48.650472167968751</v>
          </cell>
          <cell r="AD102">
            <v>0.60823321533203123</v>
          </cell>
          <cell r="AE102">
            <v>2.1347875595092774E-3</v>
          </cell>
        </row>
        <row r="103">
          <cell r="C103">
            <v>44986.989583333328</v>
          </cell>
          <cell r="D103">
            <v>7.6333232421875001</v>
          </cell>
          <cell r="E103">
            <v>6.6230805664062498</v>
          </cell>
          <cell r="F103">
            <v>8.3541923828124993</v>
          </cell>
          <cell r="G103">
            <v>6.97777001953125</v>
          </cell>
          <cell r="H103">
            <v>0</v>
          </cell>
          <cell r="I103">
            <v>1.4037911376953125</v>
          </cell>
          <cell r="J103">
            <v>0</v>
          </cell>
          <cell r="K103">
            <v>1.4037911376953125</v>
          </cell>
          <cell r="L103">
            <v>24.014387329101563</v>
          </cell>
          <cell r="N103">
            <v>19.385564453124999</v>
          </cell>
          <cell r="O103">
            <v>8.3746660156249995</v>
          </cell>
          <cell r="P103">
            <v>10.445725585937501</v>
          </cell>
          <cell r="Q103">
            <v>8.2472089843749998</v>
          </cell>
          <cell r="R103">
            <v>46.453165039062497</v>
          </cell>
          <cell r="T103">
            <v>0</v>
          </cell>
          <cell r="U103">
            <v>29.11954296875</v>
          </cell>
          <cell r="V103">
            <v>29.11954296875</v>
          </cell>
          <cell r="X103">
            <v>17.978199218749999</v>
          </cell>
          <cell r="Y103">
            <v>18.016738281249999</v>
          </cell>
          <cell r="Z103">
            <v>11.036128906249999</v>
          </cell>
          <cell r="AA103">
            <v>1.4206613769531251</v>
          </cell>
          <cell r="AB103">
            <v>48.451727783203125</v>
          </cell>
          <cell r="AD103">
            <v>0.5912319946289063</v>
          </cell>
          <cell r="AE103">
            <v>2.2070574760437011E-3</v>
          </cell>
        </row>
        <row r="104">
          <cell r="C104">
            <v>44987</v>
          </cell>
          <cell r="D104">
            <v>7.3025078125</v>
          </cell>
          <cell r="E104">
            <v>6.2974687500000002</v>
          </cell>
          <cell r="F104">
            <v>8.2745566406250006</v>
          </cell>
          <cell r="G104">
            <v>7.03344287109375</v>
          </cell>
          <cell r="H104">
            <v>0</v>
          </cell>
          <cell r="I104">
            <v>0.99266650390625</v>
          </cell>
          <cell r="J104">
            <v>0</v>
          </cell>
          <cell r="K104">
            <v>0.99266650390625</v>
          </cell>
          <cell r="L104">
            <v>22.867199707031251</v>
          </cell>
          <cell r="N104">
            <v>18.926751953124999</v>
          </cell>
          <cell r="O104">
            <v>7.9699516601562497</v>
          </cell>
          <cell r="P104">
            <v>10.203646484375</v>
          </cell>
          <cell r="Q104">
            <v>8.0760527343750006</v>
          </cell>
          <cell r="R104">
            <v>45.176402832031243</v>
          </cell>
          <cell r="T104">
            <v>0</v>
          </cell>
          <cell r="U104">
            <v>28.854822265625</v>
          </cell>
          <cell r="V104">
            <v>28.854822265625</v>
          </cell>
          <cell r="X104">
            <v>17.978302734374999</v>
          </cell>
          <cell r="Y104">
            <v>18.016080078125</v>
          </cell>
          <cell r="Z104">
            <v>10.6365078125</v>
          </cell>
          <cell r="AA104">
            <v>1.3796512451171874</v>
          </cell>
          <cell r="AB104">
            <v>48.010541870117187</v>
          </cell>
          <cell r="AD104">
            <v>0.58357086181640627</v>
          </cell>
          <cell r="AE104">
            <v>2.1499569416046143E-3</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LOCALIDADES"/>
      <sheetName val="DATOS (2)"/>
      <sheetName val="SECHINCHA"/>
      <sheetName val="SEPISCO"/>
      <sheetName val="SEICA"/>
      <sheetName val="SENASCA"/>
      <sheetName val="SE"/>
      <sheetName val="SE0043"/>
      <sheetName val="SE0044"/>
      <sheetName val="SE0045"/>
      <sheetName val="SE0046"/>
      <sheetName val="SE0047"/>
      <sheetName val="SE0049"/>
      <sheetName val="SE0051"/>
      <sheetName val="SE0053"/>
      <sheetName val="SE0054"/>
      <sheetName val="SE0056"/>
      <sheetName val="SE0246"/>
      <sheetName val="SE0247"/>
      <sheetName val="SE1043"/>
      <sheetName val="SE1044"/>
      <sheetName val="SE1046"/>
      <sheetName val="DATOS (3)"/>
      <sheetName val="Hoja1"/>
      <sheetName val="LOCALIDADES ELCTRODUN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refreshError="1" sheetId="24"/>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ARAMETROS"/>
      <sheetName val="RECURSOS"/>
      <sheetName val="CUADRILLAS"/>
      <sheetName val="CARGO_FIJO"/>
      <sheetName val="VAD"/>
      <sheetName val="RRHH"/>
      <sheetName val="INE-NE"/>
      <sheetName val="INE-INDIRECTOS"/>
      <sheetName val="AUX-INE"/>
      <sheetName val="OYM-RESUMEN"/>
      <sheetName val="OYM-MANT"/>
      <sheetName val="OYM-OPERACIONES"/>
      <sheetName val="OYM-ATCOM-CALL"/>
      <sheetName val="OYM-CALIDAD-P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Presentation Sheet"/>
      <sheetName val="|PRIVATE|Custom"/>
      <sheetName val="|PRIVATE|Template"/>
      <sheetName val="|PRIVATE|Datasheets"/>
      <sheetName val="|PRIVATE|Status"/>
      <sheetName val="|PRIVATE|RawData"/>
      <sheetName val="L-IN110"/>
      <sheetName val="L-IN111"/>
      <sheetName val="L-IN112"/>
      <sheetName val="L-IN113"/>
      <sheetName val="L-IN114"/>
      <sheetName val="L-SM218"/>
      <sheetName val="L-SM220"/>
      <sheetName val="L-SM115"/>
      <sheetName val="L-SM116"/>
      <sheetName val="L-SM117"/>
      <sheetName val="L-SM119"/>
      <sheetName val="L-TA121"/>
      <sheetName val="L-TA122"/>
      <sheetName val="L-TA123"/>
      <sheetName val="L-TA124"/>
      <sheetName val="L-TA225"/>
      <sheetName val="L-IC103"/>
      <sheetName val="L-IC104"/>
      <sheetName val="L-IC105"/>
      <sheetName val="L-IC106"/>
      <sheetName val="L-IC107"/>
      <sheetName val="L-SI112"/>
      <sheetName val="L-SI213"/>
      <sheetName val="L-SI114"/>
      <sheetName val="L-PI101"/>
      <sheetName val="L-PI102"/>
      <sheetName val="L-PI103"/>
      <sheetName val="L-PI116"/>
      <sheetName val="L-AL104"/>
      <sheetName val="L-AL105"/>
      <sheetName val="L-AL106"/>
      <sheetName val="L-AL107"/>
      <sheetName val="L-AL108"/>
      <sheetName val="L-AL209"/>
      <sheetName val="L-PA108"/>
      <sheetName val="L-PA109"/>
      <sheetName val="L-PA110"/>
      <sheetName val="L-PA111"/>
      <sheetName val="L-PA217"/>
      <sheetName val="L-PA218"/>
      <sheetName val="L-PN101"/>
      <sheetName val="L-PN102"/>
      <sheetName val="L-PN103"/>
      <sheetName val="L-PN104"/>
      <sheetName val="L-PN105"/>
      <sheetName val="L-PN106"/>
      <sheetName val="L-PN107"/>
      <sheetName val="L-PE101"/>
      <sheetName val="L-PE102"/>
      <sheetName val="L-PE103"/>
      <sheetName val="L-PE104"/>
      <sheetName val="L-PE105"/>
      <sheetName val="L-TM141"/>
      <sheetName val="L-TM142"/>
      <sheetName val="L-TM143"/>
      <sheetName val="L-TM144"/>
      <sheetName val="L-TM145"/>
      <sheetName val="L-TM146"/>
      <sheetName val="L-CA101"/>
      <sheetName val="L-CA103"/>
      <sheetName val="L-CA104"/>
      <sheetName val="L-CA105"/>
      <sheetName val="L-LL202"/>
      <sheetName val="L-LL203"/>
      <sheetName val="L-LL204"/>
      <sheetName val="B-LL1T1"/>
      <sheetName val="L-NA101"/>
      <sheetName val="L-NA102"/>
      <sheetName val="L-NA203"/>
      <sheetName val="L-NA104"/>
      <sheetName val="B-PU1T1"/>
      <sheetName val="SL141"/>
      <sheetName val="SL142"/>
      <sheetName val="SL143"/>
      <sheetName val="SL144"/>
      <sheetName val="SL145"/>
      <sheetName val="SL146"/>
      <sheetName val="SC215"/>
      <sheetName val="SM221"/>
      <sheetName val="PA217"/>
      <sheetName val="PA219"/>
      <sheetName val="B-PN2T2"/>
      <sheetName val="PN209"/>
      <sheetName val="PE106"/>
      <sheetName val="PE107"/>
      <sheetName val="NA205"/>
      <sheetName val="PU202"/>
      <sheetName val="PU203"/>
      <sheetName val="L-TM105"/>
      <sheetName val="L-TM103"/>
      <sheetName val="L-TM106"/>
      <sheetName val="L-TM102"/>
      <sheetName val="L-TM104"/>
      <sheetName val="IN113U"/>
      <sheetName val="IN111U"/>
      <sheetName val="IN110U"/>
      <sheetName val="IN114U"/>
      <sheetName val="IN112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oja3"/>
      <sheetName val="Hoja1"/>
    </sheetNames>
    <sheetDataSet>
      <sheetData refreshError="1" sheetId="0">
        <row r="4">
          <cell r="E4" t="str">
            <v>AL104</v>
          </cell>
          <cell r="F4">
            <v>1586</v>
          </cell>
        </row>
        <row r="5">
          <cell r="E5" t="str">
            <v>AL105</v>
          </cell>
          <cell r="F5">
            <v>8496</v>
          </cell>
        </row>
        <row r="6">
          <cell r="E6" t="str">
            <v>AL106</v>
          </cell>
          <cell r="F6">
            <v>7071</v>
          </cell>
        </row>
        <row r="7">
          <cell r="E7" t="str">
            <v>AL108</v>
          </cell>
          <cell r="F7">
            <v>6395</v>
          </cell>
        </row>
        <row r="8">
          <cell r="E8" t="str">
            <v>CA101</v>
          </cell>
          <cell r="F8">
            <v>3260</v>
          </cell>
        </row>
        <row r="9">
          <cell r="E9" t="str">
            <v>CA104</v>
          </cell>
          <cell r="F9">
            <v>34</v>
          </cell>
        </row>
        <row r="10">
          <cell r="E10" t="str">
            <v>CA105</v>
          </cell>
          <cell r="F10">
            <v>524</v>
          </cell>
        </row>
        <row r="11">
          <cell r="E11" t="str">
            <v>CH101</v>
          </cell>
          <cell r="F11">
            <v>587</v>
          </cell>
        </row>
        <row r="12">
          <cell r="E12" t="str">
            <v>CO101</v>
          </cell>
          <cell r="F12">
            <v>3491</v>
          </cell>
        </row>
        <row r="13">
          <cell r="E13" t="str">
            <v>IC103</v>
          </cell>
          <cell r="F13">
            <v>9811</v>
          </cell>
        </row>
        <row r="14">
          <cell r="E14" t="str">
            <v>IC104</v>
          </cell>
          <cell r="F14">
            <v>11030</v>
          </cell>
        </row>
        <row r="15">
          <cell r="E15" t="str">
            <v>IC105</v>
          </cell>
          <cell r="F15">
            <v>1985</v>
          </cell>
        </row>
        <row r="16">
          <cell r="E16" t="str">
            <v>IC106</v>
          </cell>
          <cell r="F16">
            <v>720</v>
          </cell>
        </row>
        <row r="17">
          <cell r="E17" t="str">
            <v>IC107</v>
          </cell>
          <cell r="F17">
            <v>4601</v>
          </cell>
        </row>
        <row r="18">
          <cell r="E18" t="str">
            <v>IN110</v>
          </cell>
          <cell r="F18">
            <v>2797</v>
          </cell>
        </row>
        <row r="19">
          <cell r="E19" t="str">
            <v>IN111</v>
          </cell>
          <cell r="F19">
            <v>11975</v>
          </cell>
        </row>
        <row r="20">
          <cell r="E20" t="str">
            <v>IN112</v>
          </cell>
          <cell r="F20">
            <v>9994</v>
          </cell>
        </row>
        <row r="21">
          <cell r="E21" t="str">
            <v>IN113</v>
          </cell>
          <cell r="F21">
            <v>7678</v>
          </cell>
        </row>
        <row r="22">
          <cell r="E22" t="str">
            <v>IN114</v>
          </cell>
          <cell r="F22">
            <v>6375</v>
          </cell>
        </row>
        <row r="23">
          <cell r="E23" t="str">
            <v>IN215</v>
          </cell>
          <cell r="F23">
            <v>619</v>
          </cell>
        </row>
        <row r="24">
          <cell r="E24" t="str">
            <v>IN216</v>
          </cell>
          <cell r="F24">
            <v>32</v>
          </cell>
        </row>
        <row r="25">
          <cell r="E25" t="str">
            <v>INC201</v>
          </cell>
          <cell r="F25">
            <v>420</v>
          </cell>
        </row>
        <row r="26">
          <cell r="E26" t="str">
            <v>LL101</v>
          </cell>
          <cell r="F26">
            <v>3269</v>
          </cell>
        </row>
        <row r="27">
          <cell r="E27" t="str">
            <v>LL202</v>
          </cell>
          <cell r="F27">
            <v>2072</v>
          </cell>
        </row>
        <row r="28">
          <cell r="E28" t="str">
            <v>LL203</v>
          </cell>
          <cell r="F28">
            <v>2786</v>
          </cell>
        </row>
        <row r="29">
          <cell r="E29" t="str">
            <v>LL204</v>
          </cell>
          <cell r="F29">
            <v>2672</v>
          </cell>
        </row>
        <row r="30">
          <cell r="E30" t="str">
            <v>NA101</v>
          </cell>
          <cell r="F30">
            <v>5386</v>
          </cell>
        </row>
        <row r="31">
          <cell r="E31" t="str">
            <v>NA102</v>
          </cell>
          <cell r="F31">
            <v>9251</v>
          </cell>
        </row>
        <row r="32">
          <cell r="E32" t="str">
            <v>NA104</v>
          </cell>
          <cell r="F32">
            <v>191</v>
          </cell>
        </row>
        <row r="33">
          <cell r="E33" t="str">
            <v>NA203</v>
          </cell>
          <cell r="F33">
            <v>1370</v>
          </cell>
        </row>
        <row r="34">
          <cell r="E34" t="str">
            <v>NA205</v>
          </cell>
          <cell r="F34">
            <v>51</v>
          </cell>
        </row>
        <row r="35">
          <cell r="E35" t="str">
            <v>PA108</v>
          </cell>
          <cell r="F35">
            <v>14</v>
          </cell>
        </row>
        <row r="36">
          <cell r="E36" t="str">
            <v>PA109</v>
          </cell>
          <cell r="F36">
            <v>2</v>
          </cell>
        </row>
        <row r="37">
          <cell r="E37" t="str">
            <v>PA110</v>
          </cell>
          <cell r="F37">
            <v>1</v>
          </cell>
        </row>
        <row r="38">
          <cell r="E38" t="str">
            <v>PA111</v>
          </cell>
          <cell r="F38">
            <v>873</v>
          </cell>
        </row>
        <row r="39">
          <cell r="E39" t="str">
            <v>PA217</v>
          </cell>
          <cell r="F39">
            <v>1204</v>
          </cell>
        </row>
        <row r="40">
          <cell r="E40" t="str">
            <v>PA218</v>
          </cell>
          <cell r="F40">
            <v>1</v>
          </cell>
        </row>
        <row r="41">
          <cell r="E41" t="str">
            <v>PAU201</v>
          </cell>
          <cell r="F41">
            <v>1061</v>
          </cell>
        </row>
        <row r="42">
          <cell r="E42" t="str">
            <v>PE101</v>
          </cell>
          <cell r="F42">
            <v>1731</v>
          </cell>
        </row>
        <row r="43">
          <cell r="E43" t="str">
            <v>PE102</v>
          </cell>
          <cell r="F43">
            <v>1265</v>
          </cell>
        </row>
        <row r="44">
          <cell r="E44" t="str">
            <v>PE103</v>
          </cell>
          <cell r="F44">
            <v>6625</v>
          </cell>
        </row>
        <row r="45">
          <cell r="E45" t="str">
            <v>PE104</v>
          </cell>
          <cell r="F45">
            <v>1617</v>
          </cell>
        </row>
        <row r="46">
          <cell r="E46" t="str">
            <v>PE105</v>
          </cell>
          <cell r="F46">
            <v>1541</v>
          </cell>
        </row>
        <row r="47">
          <cell r="E47" t="str">
            <v>PE106</v>
          </cell>
          <cell r="F47">
            <v>1</v>
          </cell>
        </row>
        <row r="48">
          <cell r="E48" t="str">
            <v>PI102</v>
          </cell>
          <cell r="F48">
            <v>2748</v>
          </cell>
        </row>
        <row r="49">
          <cell r="E49" t="str">
            <v>PI103</v>
          </cell>
          <cell r="F49">
            <v>4668</v>
          </cell>
        </row>
        <row r="50">
          <cell r="E50" t="str">
            <v>PI116</v>
          </cell>
          <cell r="F50">
            <v>1929</v>
          </cell>
        </row>
        <row r="51">
          <cell r="E51" t="str">
            <v>PN101</v>
          </cell>
          <cell r="F51">
            <v>4490</v>
          </cell>
        </row>
        <row r="52">
          <cell r="E52" t="str">
            <v>PN102</v>
          </cell>
          <cell r="F52">
            <v>3557</v>
          </cell>
        </row>
        <row r="53">
          <cell r="E53" t="str">
            <v>PN103</v>
          </cell>
          <cell r="F53">
            <v>8270</v>
          </cell>
        </row>
        <row r="54">
          <cell r="E54" t="str">
            <v>PN106</v>
          </cell>
          <cell r="F54">
            <v>8021</v>
          </cell>
        </row>
        <row r="55">
          <cell r="E55" t="str">
            <v>PN107</v>
          </cell>
          <cell r="F55">
            <v>10580</v>
          </cell>
        </row>
        <row r="56">
          <cell r="E56" t="str">
            <v>PN208</v>
          </cell>
          <cell r="F56">
            <v>2003</v>
          </cell>
        </row>
        <row r="57">
          <cell r="E57" t="str">
            <v>PN209</v>
          </cell>
          <cell r="F57">
            <v>355</v>
          </cell>
        </row>
        <row r="58">
          <cell r="E58" t="str">
            <v>PU101</v>
          </cell>
          <cell r="F58">
            <v>4387</v>
          </cell>
        </row>
        <row r="59">
          <cell r="E59" t="str">
            <v>PU202</v>
          </cell>
          <cell r="F59">
            <v>1585</v>
          </cell>
        </row>
        <row r="60">
          <cell r="E60" t="str">
            <v>PU203</v>
          </cell>
          <cell r="F60">
            <v>4848</v>
          </cell>
        </row>
        <row r="61">
          <cell r="E61" t="str">
            <v>SC215</v>
          </cell>
          <cell r="F61">
            <v>6108</v>
          </cell>
        </row>
        <row r="62">
          <cell r="E62" t="str">
            <v>SI112</v>
          </cell>
          <cell r="F62">
            <v>3517</v>
          </cell>
        </row>
        <row r="63">
          <cell r="E63" t="str">
            <v>SI213</v>
          </cell>
          <cell r="F63">
            <v>725</v>
          </cell>
        </row>
        <row r="64">
          <cell r="E64" t="str">
            <v>SL141</v>
          </cell>
          <cell r="F64">
            <v>8541</v>
          </cell>
        </row>
        <row r="65">
          <cell r="E65" t="str">
            <v>SL142</v>
          </cell>
          <cell r="F65">
            <v>3044</v>
          </cell>
        </row>
        <row r="66">
          <cell r="E66" t="str">
            <v>SL143</v>
          </cell>
          <cell r="F66">
            <v>10325</v>
          </cell>
        </row>
        <row r="67">
          <cell r="E67" t="str">
            <v>SL144</v>
          </cell>
          <cell r="F67">
            <v>390</v>
          </cell>
        </row>
        <row r="68">
          <cell r="E68" t="str">
            <v>SL145</v>
          </cell>
          <cell r="F68">
            <v>2067</v>
          </cell>
        </row>
        <row r="69">
          <cell r="E69" t="str">
            <v>SL146</v>
          </cell>
          <cell r="F69">
            <v>231</v>
          </cell>
        </row>
        <row r="70">
          <cell r="E70" t="str">
            <v>SM115</v>
          </cell>
          <cell r="F70">
            <v>419</v>
          </cell>
        </row>
        <row r="71">
          <cell r="E71" t="str">
            <v>SM116</v>
          </cell>
          <cell r="F71">
            <v>3676</v>
          </cell>
        </row>
        <row r="72">
          <cell r="E72" t="str">
            <v>SM117</v>
          </cell>
          <cell r="F72">
            <v>4480</v>
          </cell>
        </row>
        <row r="73">
          <cell r="E73" t="str">
            <v>SM119</v>
          </cell>
          <cell r="F73">
            <v>1</v>
          </cell>
        </row>
        <row r="74">
          <cell r="E74" t="str">
            <v>SM218</v>
          </cell>
          <cell r="F74">
            <v>4368</v>
          </cell>
        </row>
        <row r="75">
          <cell r="E75" t="str">
            <v>TA121</v>
          </cell>
          <cell r="F75">
            <v>2307</v>
          </cell>
        </row>
        <row r="76">
          <cell r="E76" t="str">
            <v>TA122</v>
          </cell>
          <cell r="F76">
            <v>1842</v>
          </cell>
        </row>
        <row r="77">
          <cell r="E77" t="str">
            <v>TA123</v>
          </cell>
          <cell r="F77">
            <v>865</v>
          </cell>
        </row>
        <row r="78">
          <cell r="E78" t="str">
            <v>TA124</v>
          </cell>
          <cell r="F78">
            <v>1</v>
          </cell>
        </row>
        <row r="79">
          <cell r="E79" t="str">
            <v>TA225</v>
          </cell>
          <cell r="F79">
            <v>12</v>
          </cell>
        </row>
        <row r="80">
          <cell r="E80" t="str">
            <v>TM102</v>
          </cell>
          <cell r="F80">
            <v>329</v>
          </cell>
        </row>
        <row r="81">
          <cell r="E81" t="str">
            <v>TM103</v>
          </cell>
          <cell r="F81">
            <v>2</v>
          </cell>
        </row>
        <row r="82">
          <cell r="E82" t="str">
            <v>TM104</v>
          </cell>
          <cell r="F82">
            <v>1990</v>
          </cell>
        </row>
        <row r="83">
          <cell r="E83" t="str">
            <v>TM105</v>
          </cell>
          <cell r="F83">
            <v>3724</v>
          </cell>
        </row>
        <row r="84">
          <cell r="E84" t="str">
            <v>TQ201</v>
          </cell>
          <cell r="F84">
            <v>135</v>
          </cell>
        </row>
      </sheetData>
      <sheetData refreshError="1" sheetId="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Hoja4"/>
      <sheetName val="Hoja1"/>
      <sheetName val="SED"/>
      <sheetName val="Hoja2"/>
    </sheetNames>
    <sheetDataSet>
      <sheetData refreshError="1" sheetId="0">
        <row r="2">
          <cell r="A2" t="str">
            <v>AL104</v>
          </cell>
          <cell r="B2">
            <v>921</v>
          </cell>
        </row>
        <row r="3">
          <cell r="A3" t="str">
            <v>AL105</v>
          </cell>
          <cell r="B3">
            <v>8222</v>
          </cell>
        </row>
        <row r="4">
          <cell r="A4" t="str">
            <v>AL106</v>
          </cell>
          <cell r="B4">
            <v>7650</v>
          </cell>
        </row>
        <row r="5">
          <cell r="A5" t="str">
            <v>AL108</v>
          </cell>
          <cell r="B5">
            <v>6169</v>
          </cell>
        </row>
        <row r="6">
          <cell r="A6" t="str">
            <v>CA101</v>
          </cell>
          <cell r="B6">
            <v>3138</v>
          </cell>
        </row>
        <row r="7">
          <cell r="A7" t="str">
            <v>CA104</v>
          </cell>
          <cell r="B7">
            <v>35</v>
          </cell>
        </row>
        <row r="8">
          <cell r="A8" t="str">
            <v>CA105</v>
          </cell>
          <cell r="B8">
            <v>511</v>
          </cell>
        </row>
        <row r="9">
          <cell r="A9" t="str">
            <v>CH101</v>
          </cell>
          <cell r="B9">
            <v>579</v>
          </cell>
        </row>
        <row r="10">
          <cell r="A10" t="str">
            <v>CO101</v>
          </cell>
          <cell r="B10">
            <v>3287</v>
          </cell>
        </row>
        <row r="11">
          <cell r="A11" t="str">
            <v>IC103</v>
          </cell>
          <cell r="B11">
            <v>9223</v>
          </cell>
        </row>
        <row r="12">
          <cell r="A12" t="str">
            <v>IC104</v>
          </cell>
          <cell r="B12">
            <v>10137</v>
          </cell>
        </row>
        <row r="13">
          <cell r="A13" t="str">
            <v>IC105</v>
          </cell>
          <cell r="B13">
            <v>1923</v>
          </cell>
        </row>
        <row r="14">
          <cell r="A14" t="str">
            <v>IC106</v>
          </cell>
          <cell r="B14">
            <v>633</v>
          </cell>
        </row>
        <row r="15">
          <cell r="A15" t="str">
            <v>IC107</v>
          </cell>
          <cell r="B15">
            <v>4030</v>
          </cell>
        </row>
        <row r="16">
          <cell r="A16" t="str">
            <v>IN110</v>
          </cell>
          <cell r="B16">
            <v>2728</v>
          </cell>
        </row>
        <row r="17">
          <cell r="A17" t="str">
            <v>IN111</v>
          </cell>
          <cell r="B17">
            <v>11042</v>
          </cell>
        </row>
        <row r="18">
          <cell r="A18" t="str">
            <v>IN112</v>
          </cell>
          <cell r="B18">
            <v>9342</v>
          </cell>
        </row>
        <row r="19">
          <cell r="A19" t="str">
            <v>IN113</v>
          </cell>
          <cell r="B19">
            <v>7675</v>
          </cell>
        </row>
        <row r="20">
          <cell r="A20" t="str">
            <v>IN114</v>
          </cell>
          <cell r="B20">
            <v>6653</v>
          </cell>
        </row>
        <row r="21">
          <cell r="A21" t="str">
            <v>INC201</v>
          </cell>
          <cell r="B21">
            <v>389</v>
          </cell>
        </row>
        <row r="22">
          <cell r="A22" t="str">
            <v>LL101</v>
          </cell>
          <cell r="B22">
            <v>3124</v>
          </cell>
        </row>
        <row r="23">
          <cell r="A23" t="str">
            <v>LL202</v>
          </cell>
          <cell r="B23">
            <v>1937</v>
          </cell>
        </row>
        <row r="24">
          <cell r="A24" t="str">
            <v>LL203</v>
          </cell>
          <cell r="B24">
            <v>2708</v>
          </cell>
        </row>
        <row r="25">
          <cell r="A25" t="str">
            <v>LL204</v>
          </cell>
          <cell r="B25">
            <v>2551</v>
          </cell>
        </row>
        <row r="26">
          <cell r="A26" t="str">
            <v>NA101</v>
          </cell>
          <cell r="B26">
            <v>5194</v>
          </cell>
        </row>
        <row r="27">
          <cell r="A27" t="str">
            <v>NA102</v>
          </cell>
          <cell r="B27">
            <v>8903</v>
          </cell>
        </row>
        <row r="28">
          <cell r="A28" t="str">
            <v>NA104</v>
          </cell>
          <cell r="B28">
            <v>187</v>
          </cell>
        </row>
        <row r="29">
          <cell r="A29" t="str">
            <v>NA203</v>
          </cell>
          <cell r="B29">
            <v>1226</v>
          </cell>
        </row>
        <row r="30">
          <cell r="A30" t="str">
            <v>PA108</v>
          </cell>
          <cell r="B30">
            <v>13</v>
          </cell>
        </row>
        <row r="31">
          <cell r="A31" t="str">
            <v>PA109</v>
          </cell>
          <cell r="B31">
            <v>3</v>
          </cell>
        </row>
        <row r="32">
          <cell r="A32" t="str">
            <v>PA111</v>
          </cell>
          <cell r="B32">
            <v>857</v>
          </cell>
        </row>
        <row r="33">
          <cell r="A33" t="str">
            <v>PA217</v>
          </cell>
          <cell r="B33">
            <v>1040</v>
          </cell>
        </row>
        <row r="34">
          <cell r="A34" t="str">
            <v>PAU201</v>
          </cell>
          <cell r="B34">
            <v>1006</v>
          </cell>
        </row>
        <row r="35">
          <cell r="A35" t="str">
            <v>PE101</v>
          </cell>
          <cell r="B35">
            <v>1648</v>
          </cell>
        </row>
        <row r="36">
          <cell r="A36" t="str">
            <v>PE102</v>
          </cell>
          <cell r="B36">
            <v>1206</v>
          </cell>
        </row>
        <row r="37">
          <cell r="A37" t="str">
            <v>PE103</v>
          </cell>
          <cell r="B37">
            <v>6207</v>
          </cell>
        </row>
        <row r="38">
          <cell r="A38" t="str">
            <v>PE104</v>
          </cell>
          <cell r="B38">
            <v>1489</v>
          </cell>
        </row>
        <row r="39">
          <cell r="A39" t="str">
            <v>PE105</v>
          </cell>
          <cell r="B39">
            <v>1471</v>
          </cell>
        </row>
        <row r="40">
          <cell r="A40" t="str">
            <v>PI102</v>
          </cell>
          <cell r="B40">
            <v>2995</v>
          </cell>
        </row>
        <row r="41">
          <cell r="A41" t="str">
            <v>PI103</v>
          </cell>
          <cell r="B41">
            <v>4029</v>
          </cell>
        </row>
        <row r="42">
          <cell r="A42" t="str">
            <v>PI116</v>
          </cell>
          <cell r="B42">
            <v>1870</v>
          </cell>
        </row>
        <row r="43">
          <cell r="A43" t="str">
            <v>PN101</v>
          </cell>
          <cell r="B43">
            <v>4317</v>
          </cell>
        </row>
        <row r="44">
          <cell r="A44" t="str">
            <v>PN102</v>
          </cell>
          <cell r="B44">
            <v>3579</v>
          </cell>
        </row>
        <row r="45">
          <cell r="A45" t="str">
            <v>PN103</v>
          </cell>
          <cell r="B45">
            <v>7874</v>
          </cell>
        </row>
        <row r="46">
          <cell r="A46" t="str">
            <v>PN105</v>
          </cell>
          <cell r="B46">
            <v>304</v>
          </cell>
        </row>
        <row r="47">
          <cell r="A47" t="str">
            <v>PN106</v>
          </cell>
          <cell r="B47">
            <v>7573</v>
          </cell>
        </row>
        <row r="48">
          <cell r="A48" t="str">
            <v>PN107</v>
          </cell>
          <cell r="B48">
            <v>10058</v>
          </cell>
        </row>
        <row r="49">
          <cell r="A49" t="str">
            <v>PN208</v>
          </cell>
          <cell r="B49">
            <v>1853</v>
          </cell>
        </row>
        <row r="50">
          <cell r="A50" t="str">
            <v>PU101</v>
          </cell>
          <cell r="B50">
            <v>4151</v>
          </cell>
        </row>
        <row r="51">
          <cell r="A51" t="str">
            <v>PU202</v>
          </cell>
          <cell r="B51">
            <v>1500</v>
          </cell>
        </row>
        <row r="52">
          <cell r="A52" t="str">
            <v>PU203</v>
          </cell>
          <cell r="B52">
            <v>4596</v>
          </cell>
        </row>
        <row r="53">
          <cell r="A53" t="str">
            <v>SC215</v>
          </cell>
          <cell r="B53">
            <v>5904</v>
          </cell>
        </row>
        <row r="54">
          <cell r="A54" t="str">
            <v>SI112</v>
          </cell>
          <cell r="B54">
            <v>3375</v>
          </cell>
        </row>
        <row r="55">
          <cell r="A55" t="str">
            <v>SI213</v>
          </cell>
          <cell r="B55">
            <v>668</v>
          </cell>
        </row>
        <row r="56">
          <cell r="A56" t="str">
            <v>SL141</v>
          </cell>
          <cell r="B56">
            <v>8435</v>
          </cell>
        </row>
        <row r="57">
          <cell r="A57" t="str">
            <v>SL142</v>
          </cell>
          <cell r="B57">
            <v>3071</v>
          </cell>
        </row>
        <row r="58">
          <cell r="A58" t="str">
            <v>SL143</v>
          </cell>
          <cell r="B58">
            <v>9672</v>
          </cell>
        </row>
        <row r="59">
          <cell r="A59" t="str">
            <v>SL144</v>
          </cell>
          <cell r="B59">
            <v>339</v>
          </cell>
        </row>
        <row r="60">
          <cell r="A60" t="str">
            <v>SL145</v>
          </cell>
          <cell r="B60">
            <v>1963</v>
          </cell>
        </row>
        <row r="61">
          <cell r="A61" t="str">
            <v>SL146</v>
          </cell>
          <cell r="B61">
            <v>222</v>
          </cell>
        </row>
        <row r="62">
          <cell r="A62" t="str">
            <v>SM115</v>
          </cell>
          <cell r="B62">
            <v>373</v>
          </cell>
        </row>
        <row r="63">
          <cell r="A63" t="str">
            <v>SM116</v>
          </cell>
          <cell r="B63">
            <v>3271</v>
          </cell>
        </row>
        <row r="64">
          <cell r="A64" t="str">
            <v>SM117</v>
          </cell>
          <cell r="B64">
            <v>4289</v>
          </cell>
        </row>
        <row r="65">
          <cell r="A65" t="str">
            <v>SM119</v>
          </cell>
          <cell r="B65">
            <v>1</v>
          </cell>
        </row>
        <row r="66">
          <cell r="A66" t="str">
            <v>SM218</v>
          </cell>
          <cell r="B66">
            <v>4145</v>
          </cell>
        </row>
        <row r="67">
          <cell r="A67" t="str">
            <v>TA121</v>
          </cell>
          <cell r="B67">
            <v>2177</v>
          </cell>
        </row>
        <row r="68">
          <cell r="A68" t="str">
            <v>TA122</v>
          </cell>
          <cell r="B68">
            <v>1756</v>
          </cell>
        </row>
        <row r="69">
          <cell r="A69" t="str">
            <v>TA123</v>
          </cell>
          <cell r="B69">
            <v>828</v>
          </cell>
        </row>
        <row r="70">
          <cell r="A70" t="str">
            <v>TA124</v>
          </cell>
          <cell r="B70">
            <v>1</v>
          </cell>
        </row>
        <row r="71">
          <cell r="A71" t="str">
            <v>TA225</v>
          </cell>
          <cell r="B71">
            <v>11</v>
          </cell>
        </row>
        <row r="72">
          <cell r="A72" t="str">
            <v>TM102</v>
          </cell>
          <cell r="B72">
            <v>325</v>
          </cell>
        </row>
        <row r="73">
          <cell r="A73" t="str">
            <v>TM103</v>
          </cell>
          <cell r="B73">
            <v>2</v>
          </cell>
        </row>
        <row r="74">
          <cell r="A74" t="str">
            <v>TM104</v>
          </cell>
          <cell r="B74">
            <v>1891</v>
          </cell>
        </row>
        <row r="75">
          <cell r="A75" t="str">
            <v>TM105</v>
          </cell>
          <cell r="B75">
            <v>3427</v>
          </cell>
        </row>
        <row r="76">
          <cell r="A76" t="str">
            <v>TQ201</v>
          </cell>
          <cell r="B76">
            <v>124</v>
          </cell>
        </row>
      </sheetData>
      <sheetData refreshError="1" sheetId="1"/>
      <sheetData refreshError="1" sheetId="2"/>
      <sheetData refreshError="1"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 Id="comments" Target="/xl/comments/comment1.xml" Type="http://schemas.openxmlformats.org/officeDocument/2006/relationships/comments" /><Relationship Id="anysvml" Target="/xl/drawings/commentsDrawing1.vml" Type="http://schemas.openxmlformats.org/officeDocument/2006/relationships/vml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_rels/sheet4.xml.rels><Relationships xmlns="http://schemas.openxmlformats.org/package/2006/relationships"><Relationship Id="comments" Target="/xl/comments/comment2.xml" Type="http://schemas.openxmlformats.org/officeDocument/2006/relationships/comments" /><Relationship Id="anysvml" Target="/xl/drawings/commentsDrawing2.vml" Type="http://schemas.openxmlformats.org/officeDocument/2006/relationships/vmlDrawing" /></Relationships>
</file>

<file path=xl/worksheets/_rels/sheet5.xml.rels><Relationships xmlns="http://schemas.openxmlformats.org/package/2006/relationships"><Relationship Id="comments" Target="/xl/comments/comment3.xml" Type="http://schemas.openxmlformats.org/officeDocument/2006/relationships/comments" /><Relationship Id="anysvml" Target="/xl/drawings/commentsDrawing3.vml" Type="http://schemas.openxmlformats.org/officeDocument/2006/relationships/vmlDrawing"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K214"/>
  <sheetViews>
    <sheetView showGridLines="0" tabSelected="1" view="pageBreakPreview" workbookViewId="0" zoomScale="55" zoomScaleNormal="100" zoomScaleSheetLayoutView="55">
      <selection activeCell="B16" sqref="B16:J16"/>
    </sheetView>
  </sheetViews>
  <sheetFormatPr baseColWidth="10" defaultColWidth="11.42578125" defaultRowHeight="15.75"/>
  <cols>
    <col customWidth="1" max="1" min="1" style="137" width="11.42578125"/>
    <col customWidth="1" max="2" min="2" style="137" width="22"/>
    <col customWidth="1" max="3" min="3" style="137" width="16.85546875"/>
    <col customWidth="1" max="4" min="4" style="137" width="18"/>
    <col customWidth="1" max="5" min="5" style="137" width="14.42578125"/>
    <col customWidth="1" max="6" min="6" style="137" width="15.42578125"/>
    <col customWidth="1" max="7" min="7" style="137" width="16.85546875"/>
    <col customWidth="1" max="8" min="8" style="137" width="17.5703125"/>
    <col bestFit="1" customWidth="1" max="9" min="9" style="137" width="13.5703125"/>
    <col customWidth="1" max="11" min="10" style="137" width="11.42578125"/>
    <col customWidth="1" max="13" min="13" width="11.5703125"/>
  </cols>
  <sheetData>
    <row r="1"/>
    <row r="2">
      <c r="C2" s="138" t="inlineStr">
        <is>
          <t>ANALISIS DE CLIENTES MAYORES</t>
        </is>
      </c>
      <c r="I2" s="350" t="n"/>
    </row>
    <row r="3">
      <c r="I3" s="350" t="n"/>
    </row>
    <row r="4">
      <c r="B4" s="139" t="inlineStr">
        <is>
          <t>Cliente:</t>
        </is>
      </c>
      <c r="C4" s="140" t="inlineStr"/>
      <c r="D4" s="140" t="n"/>
      <c r="E4" s="140" t="n"/>
      <c r="H4" s="141" t="n"/>
      <c r="I4" s="140" t="n"/>
    </row>
    <row r="5">
      <c r="B5" s="139" t="inlineStr">
        <is>
          <t>Ubicación:</t>
        </is>
      </c>
      <c r="C5" s="140" t="inlineStr">
        <is>
          <t>Electro Dunas</t>
        </is>
      </c>
      <c r="D5" s="140" t="n"/>
      <c r="E5" s="140" t="n"/>
      <c r="H5" s="140" t="n"/>
      <c r="I5" s="350" t="n"/>
      <c r="J5" s="140" t="n"/>
    </row>
    <row r="6">
      <c r="B6" s="139" t="inlineStr">
        <is>
          <t>Solicitud:</t>
        </is>
      </c>
      <c r="C6" s="140" t="inlineStr">
        <is>
          <t>Factibilidad y Punto de Diseño</t>
        </is>
      </c>
      <c r="D6" s="140" t="n"/>
      <c r="E6" s="140" t="n"/>
      <c r="H6" s="350" t="inlineStr">
        <is>
          <t>—</t>
        </is>
      </c>
      <c r="I6" s="350" t="n"/>
    </row>
    <row r="7">
      <c r="B7" s="139" t="inlineStr">
        <is>
          <t>Potencia sol. (kW):</t>
        </is>
      </c>
      <c r="C7" s="494" t="n">
        <v>680</v>
      </c>
      <c r="G7" s="141" t="inlineStr">
        <is>
          <t>Fecha de Sol. de PyO:</t>
        </is>
      </c>
      <c r="H7" s="373" t="n">
        <v>46289</v>
      </c>
    </row>
    <row r="8">
      <c r="B8" s="139" t="inlineStr">
        <is>
          <t>Alimentador:</t>
        </is>
      </c>
      <c r="C8" s="140" t="inlineStr">
        <is>
          <t>CA101</t>
        </is>
      </c>
      <c r="D8" s="140" t="n"/>
      <c r="E8" s="140" t="n"/>
      <c r="G8" s="141" t="inlineStr">
        <is>
          <t>SET:</t>
        </is>
      </c>
      <c r="H8" s="137" t="inlineStr">
        <is>
          <t>SET CA101</t>
        </is>
      </c>
    </row>
    <row r="9">
      <c r="B9" s="139" t="inlineStr">
        <is>
          <t>Tension (kV):</t>
        </is>
      </c>
      <c r="C9" s="140" t="n">
        <v>10</v>
      </c>
      <c r="D9" s="140" t="n"/>
      <c r="E9" s="140" t="n"/>
      <c r="G9" s="141" t="inlineStr">
        <is>
          <t>Transformador:</t>
        </is>
      </c>
      <c r="H9" s="137" t="inlineStr">
        <is>
          <t>Transformador SET CA101 · 10.0 kV (inventario CYMDIST)</t>
        </is>
      </c>
    </row>
    <row r="10">
      <c r="B10" s="138" t="inlineStr">
        <is>
          <t>Expediente:</t>
        </is>
      </c>
      <c r="C10" s="137" t="inlineStr">
        <is>
          <t>RECYM-CA101</t>
        </is>
      </c>
      <c r="D10" s="140" t="n"/>
      <c r="E10" s="140" t="n"/>
    </row>
    <row r="11">
      <c r="B11" s="139" t="n"/>
      <c r="C11" s="140" t="n"/>
      <c r="D11" s="140" t="n"/>
      <c r="E11" s="140" t="n"/>
    </row>
    <row r="12">
      <c r="B12" s="142" t="inlineStr">
        <is>
          <t>1. ANTECEDENTES</t>
        </is>
      </c>
      <c r="C12" s="140" t="n"/>
      <c r="D12" s="140" t="n"/>
      <c r="E12" s="140" t="n"/>
    </row>
    <row r="13">
      <c r="B13" s="374" t="n"/>
      <c r="C13" s="375" t="n"/>
      <c r="D13" s="375" t="n"/>
      <c r="E13" s="375" t="n"/>
      <c r="F13" s="374" t="n"/>
      <c r="G13" s="374" t="n"/>
      <c r="H13" s="374" t="n"/>
      <c r="I13" s="374" t="n"/>
      <c r="J13" s="374" t="n"/>
    </row>
    <row customHeight="1" ht="35.25" r="14">
      <c r="B14" s="495">
        <f>CONCATENATE("El ",H7,", la Unidad de Proyectos y Obras distribución solicita evaluación de ",C6, " en media tensión, predio ubicado en el ",C5,".")</f>
        <v/>
      </c>
    </row>
    <row customHeight="1" ht="16.5" r="15">
      <c r="B15" s="146">
        <f>CONCATENATE("La solicitud esta registrado con ",C10)</f>
        <v/>
      </c>
      <c r="C15" s="147" t="n"/>
      <c r="D15" s="147" t="n"/>
      <c r="E15" s="147" t="n"/>
      <c r="F15" s="147" t="n"/>
      <c r="G15" s="147" t="n"/>
      <c r="H15" s="147" t="n"/>
      <c r="I15" s="147" t="n"/>
      <c r="J15" s="147" t="n"/>
    </row>
    <row customHeight="1" ht="16.5" r="16">
      <c r="B16" s="479">
        <f>CONCATENATE("El interesado solicita ",C6," ",H6,".")</f>
        <v/>
      </c>
    </row>
    <row customHeight="1" ht="16.5" r="17">
      <c r="B17" s="479">
        <f>CONCATENATE("El interesado se encuentra próximo al alimentador ",C8,".")</f>
        <v/>
      </c>
    </row>
    <row customHeight="1" ht="16.5" r="18">
      <c r="B18" s="479">
        <f>CONCATENATE("El transformador de la SET ",H8," tiene las siguientes características ",H9,".")</f>
        <v/>
      </c>
    </row>
    <row customHeight="1" ht="16.5" r="19">
      <c r="B19" s="479" t="n"/>
      <c r="C19" s="479" t="n"/>
      <c r="D19" s="479" t="n"/>
      <c r="E19" s="479" t="n"/>
      <c r="F19" s="479" t="n"/>
      <c r="G19" s="479" t="n"/>
      <c r="H19" s="479" t="n"/>
      <c r="I19" s="479" t="n"/>
      <c r="J19" s="479" t="n"/>
    </row>
    <row r="20">
      <c r="B20" s="142" t="inlineStr">
        <is>
          <t>2. DESCRIPCIÓN</t>
        </is>
      </c>
      <c r="C20" s="496" t="n"/>
      <c r="D20" s="496" t="n"/>
      <c r="E20" s="496" t="n"/>
      <c r="F20" s="496" t="n"/>
      <c r="G20" s="496" t="n"/>
      <c r="H20" s="496" t="n"/>
      <c r="I20" s="496" t="n"/>
      <c r="J20" s="496" t="n"/>
    </row>
    <row r="21">
      <c r="B21" s="142" t="n"/>
      <c r="C21" s="140" t="n"/>
      <c r="D21" s="140" t="n"/>
      <c r="E21" s="140" t="n"/>
    </row>
    <row customHeight="1" ht="42.75" r="22">
      <c r="B22" s="479" t="inlineStr">
        <is>
          <t xml:space="preserve">Para realizar el análisis se ha considerado la información proporcionada por el interesado, reportes de mediciones de CCO e información del diagrama de Transmisión. </t>
        </is>
      </c>
    </row>
    <row customHeight="1" ht="15" r="23">
      <c r="B23" s="479" t="n"/>
    </row>
    <row r="24"/>
    <row r="25"/>
    <row r="26">
      <c r="B26" s="143" t="inlineStr">
        <is>
          <t>2.1 RED ACTUAL DE ELECTRODUNAS LL202</t>
        </is>
      </c>
      <c r="C26" s="143" t="n"/>
      <c r="D26" s="143" t="n"/>
      <c r="E26" s="143" t="n"/>
      <c r="F26" s="143" t="n"/>
      <c r="G26" s="143" t="n"/>
      <c r="H26" s="143" t="n"/>
      <c r="I26" s="143" t="n"/>
      <c r="J26" s="143" t="n"/>
    </row>
    <row r="27"/>
    <row r="28">
      <c r="B28" s="138" t="inlineStr">
        <is>
          <t>A) TENSION</t>
        </is>
      </c>
    </row>
    <row r="29"/>
    <row customHeight="1" ht="15.75" r="30">
      <c r="B30" s="603" t="n"/>
      <c r="C30" s="604" t="n"/>
      <c r="D30" s="605" t="n"/>
      <c r="E30" s="606" t="inlineStr">
        <is>
          <t xml:space="preserve">Carga total </t>
        </is>
      </c>
      <c r="F30" s="604" t="n"/>
      <c r="G30" s="604" t="n"/>
      <c r="H30" s="605" t="n"/>
    </row>
    <row r="31">
      <c r="B31" s="607" t="n"/>
      <c r="C31" s="608" t="n"/>
      <c r="D31" s="609" t="n"/>
      <c r="E31" s="484" t="inlineStr">
        <is>
          <t>kW</t>
        </is>
      </c>
      <c r="F31" s="484" t="inlineStr">
        <is>
          <t>kVAR</t>
        </is>
      </c>
      <c r="G31" s="484" t="inlineStr">
        <is>
          <t>kVA</t>
        </is>
      </c>
      <c r="H31" s="391" t="inlineStr">
        <is>
          <t>FP(%)</t>
        </is>
      </c>
    </row>
    <row r="32">
      <c r="B32" s="490" t="inlineStr">
        <is>
          <t>Potencia desde las fuentes</t>
        </is>
      </c>
      <c r="C32" s="610" t="n"/>
      <c r="D32" s="611" t="n"/>
      <c r="E32" s="392">
        <f>'Resultados de escenarios'!H5</f>
        <v/>
      </c>
      <c r="F32" s="392">
        <f>+'Resultados de escenarios'!I5</f>
        <v/>
      </c>
      <c r="G32" s="392">
        <f>+'Resultados de escenarios'!G5</f>
        <v/>
      </c>
      <c r="H32" s="393">
        <f>'Resultados de escenarios'!R14</f>
        <v/>
      </c>
    </row>
    <row r="33">
      <c r="B33" s="491" t="inlineStr">
        <is>
          <t>Pérdidas</t>
        </is>
      </c>
      <c r="C33" s="610" t="n"/>
      <c r="D33" s="611" t="n"/>
      <c r="E33" s="393">
        <f>'Resultados de escenarios'!O28</f>
        <v/>
      </c>
      <c r="F33" s="393">
        <f>'Resultados de escenarios'!P28</f>
        <v/>
      </c>
      <c r="G33" s="393">
        <f>'Resultados de escenarios'!Q28</f>
        <v/>
      </c>
      <c r="H33" s="393">
        <f>'Resultados de escenarios'!R28</f>
        <v/>
      </c>
    </row>
    <row customHeight="1" ht="8.25" r="34">
      <c r="B34" s="140" t="n"/>
      <c r="C34" s="140" t="n"/>
      <c r="D34" s="140" t="n"/>
      <c r="E34" s="144" t="n"/>
      <c r="F34" s="144" t="n"/>
      <c r="G34" s="144" t="n"/>
      <c r="H34" s="144" t="n"/>
    </row>
    <row customHeight="1" ht="3.75" r="35">
      <c r="B35" s="140" t="n"/>
      <c r="C35" s="140" t="n"/>
      <c r="D35" s="140" t="n"/>
      <c r="E35" s="144" t="n"/>
      <c r="F35" s="144" t="n"/>
      <c r="G35" s="144" t="n"/>
      <c r="H35" s="144" t="n"/>
    </row>
    <row r="36">
      <c r="B36" s="394" t="inlineStr">
        <is>
          <t>Caida de Tension</t>
        </is>
      </c>
      <c r="C36" s="395" t="inlineStr">
        <is>
          <t>%</t>
        </is>
      </c>
      <c r="D36" s="140" t="n"/>
      <c r="E36" s="144" t="n"/>
      <c r="F36" s="144" t="n"/>
      <c r="G36" s="144" t="n"/>
      <c r="H36" s="144" t="n"/>
    </row>
    <row r="37">
      <c r="B37" s="396" t="inlineStr">
        <is>
          <t>A</t>
        </is>
      </c>
      <c r="C37" s="397">
        <f>'Resultados de escenarios'!L15</f>
        <v/>
      </c>
      <c r="D37" s="140" t="n"/>
      <c r="E37" s="144" t="n"/>
      <c r="F37" s="144" t="n"/>
      <c r="G37" s="144" t="n"/>
      <c r="H37" s="144" t="n"/>
    </row>
    <row r="38">
      <c r="B38" s="396" t="inlineStr">
        <is>
          <t>B</t>
        </is>
      </c>
      <c r="C38" s="397">
        <f>'Resultados de escenarios'!L16</f>
        <v/>
      </c>
      <c r="D38" s="140" t="n"/>
      <c r="E38" s="144" t="n"/>
      <c r="F38" s="144" t="n"/>
      <c r="G38" s="144" t="n"/>
      <c r="H38" s="144" t="n"/>
      <c r="K38" s="137" t="inlineStr">
        <is>
          <t xml:space="preserve"> </t>
        </is>
      </c>
    </row>
    <row r="39">
      <c r="B39" s="396" t="inlineStr">
        <is>
          <t>C</t>
        </is>
      </c>
      <c r="C39" s="397">
        <f>'Resultados de escenarios'!L17</f>
        <v/>
      </c>
      <c r="D39" s="140" t="n"/>
      <c r="E39" s="144" t="n"/>
      <c r="F39" s="144" t="n"/>
      <c r="G39" s="144" t="n"/>
      <c r="H39" s="144" t="n"/>
    </row>
    <row r="40"/>
    <row r="41"/>
    <row r="42"/>
    <row r="43"/>
    <row r="44"/>
    <row r="45"/>
    <row r="46"/>
    <row r="47"/>
    <row r="48"/>
    <row r="49"/>
    <row r="50"/>
    <row r="51"/>
    <row r="52"/>
    <row r="53"/>
    <row r="54"/>
    <row r="55"/>
    <row r="56"/>
    <row r="57"/>
    <row r="58"/>
    <row r="59"/>
    <row r="60"/>
    <row r="61"/>
    <row r="62"/>
    <row r="63"/>
    <row r="64"/>
    <row r="65"/>
    <row r="66"/>
    <row r="67">
      <c r="B67" s="138" t="inlineStr">
        <is>
          <t>B) CARGABILIDAD</t>
        </is>
      </c>
    </row>
    <row r="68"/>
    <row r="69">
      <c r="C69" s="140" t="n"/>
      <c r="D69" s="140" t="n"/>
      <c r="E69" s="144" t="n"/>
      <c r="F69" s="144" t="n"/>
      <c r="G69" s="144" t="n"/>
      <c r="H69" s="144" t="n"/>
    </row>
    <row r="70"/>
    <row r="71"/>
    <row r="72"/>
    <row r="73"/>
    <row r="74"/>
    <row r="75"/>
    <row r="76"/>
    <row r="77"/>
    <row r="78"/>
    <row r="79"/>
    <row r="80"/>
    <row r="81"/>
    <row r="82"/>
    <row r="83"/>
    <row r="84"/>
    <row r="85"/>
    <row r="86"/>
    <row r="87"/>
    <row r="88"/>
    <row r="89"/>
    <row r="90"/>
    <row r="91"/>
    <row r="92"/>
    <row r="93"/>
    <row r="94"/>
    <row r="95"/>
    <row r="96"/>
    <row r="97"/>
    <row r="98"/>
    <row r="99"/>
    <row r="100"/>
    <row r="101">
      <c r="B101" s="143" t="inlineStr">
        <is>
          <t>2.1 RED PROYECTADA DE ELECTRODUNAS LL202</t>
        </is>
      </c>
      <c r="C101" s="143" t="n"/>
      <c r="D101" s="143" t="n"/>
      <c r="E101" s="143" t="n"/>
      <c r="F101" s="143" t="n"/>
      <c r="G101" s="143" t="n"/>
      <c r="H101" s="143" t="n"/>
      <c r="I101" s="143" t="n"/>
      <c r="J101" s="143" t="n"/>
    </row>
    <row r="102"/>
    <row r="103">
      <c r="B103" s="138" t="inlineStr">
        <is>
          <t>A) TENSION</t>
        </is>
      </c>
    </row>
    <row r="104"/>
    <row r="105">
      <c r="B105" s="603" t="n"/>
      <c r="C105" s="604" t="n"/>
      <c r="D105" s="605" t="n"/>
      <c r="E105" s="606" t="inlineStr">
        <is>
          <t xml:space="preserve">Carga total </t>
        </is>
      </c>
      <c r="F105" s="604" t="n"/>
      <c r="G105" s="604" t="n"/>
      <c r="H105" s="605" t="n"/>
    </row>
    <row r="106">
      <c r="B106" s="607" t="n"/>
      <c r="C106" s="608" t="n"/>
      <c r="D106" s="609" t="n"/>
      <c r="E106" s="484" t="inlineStr">
        <is>
          <t>kW</t>
        </is>
      </c>
      <c r="F106" s="484" t="inlineStr">
        <is>
          <t>kVAR</t>
        </is>
      </c>
      <c r="G106" s="484" t="inlineStr">
        <is>
          <t>kVA</t>
        </is>
      </c>
      <c r="H106" s="391" t="inlineStr">
        <is>
          <t>FP(%)</t>
        </is>
      </c>
    </row>
    <row r="107">
      <c r="B107" s="490" t="inlineStr">
        <is>
          <t>Potencia desde las fuentes</t>
        </is>
      </c>
      <c r="C107" s="610" t="n"/>
      <c r="D107" s="611" t="n"/>
      <c r="E107" s="398">
        <f>'Resultados de escenarios'!O48</f>
        <v/>
      </c>
      <c r="F107" s="398">
        <f>'Resultados de escenarios'!P48</f>
        <v/>
      </c>
      <c r="G107" s="398">
        <f>'Resultados de escenarios'!Q48</f>
        <v/>
      </c>
      <c r="H107" s="398">
        <f>'Resultados de escenarios'!R48</f>
        <v/>
      </c>
    </row>
    <row r="108">
      <c r="B108" s="491" t="inlineStr">
        <is>
          <t>Pérdidas</t>
        </is>
      </c>
      <c r="C108" s="610" t="n"/>
      <c r="D108" s="611" t="n"/>
      <c r="E108" s="398">
        <f>'Resultados de escenarios'!O62</f>
        <v/>
      </c>
      <c r="F108" s="398">
        <f>'Resultados de escenarios'!P62</f>
        <v/>
      </c>
      <c r="G108" s="398">
        <f>'Resultados de escenarios'!Q62</f>
        <v/>
      </c>
      <c r="H108" s="398">
        <f>'Resultados de escenarios'!R62</f>
        <v/>
      </c>
    </row>
    <row r="109">
      <c r="B109" s="140" t="n"/>
      <c r="C109" s="140" t="n"/>
      <c r="D109" s="140" t="n"/>
      <c r="E109" s="144" t="n"/>
      <c r="F109" s="144" t="n"/>
      <c r="G109" s="144" t="n"/>
      <c r="H109" s="144" t="n"/>
    </row>
    <row r="110">
      <c r="B110" s="140" t="n"/>
      <c r="C110" s="140" t="n"/>
      <c r="D110" s="140" t="n"/>
      <c r="E110" s="144" t="n"/>
      <c r="F110" s="144" t="n"/>
      <c r="G110" s="144" t="n"/>
      <c r="H110" s="144" t="n"/>
    </row>
    <row r="111">
      <c r="B111" s="394" t="inlineStr">
        <is>
          <t>Caida de Tension</t>
        </is>
      </c>
      <c r="C111" s="395" t="inlineStr">
        <is>
          <t>%</t>
        </is>
      </c>
      <c r="D111" s="140" t="n"/>
      <c r="E111" s="144" t="n"/>
      <c r="F111" s="144" t="n"/>
      <c r="G111" s="144" t="n"/>
      <c r="H111" s="144" t="n"/>
    </row>
    <row r="112">
      <c r="B112" s="396" t="inlineStr">
        <is>
          <t>A</t>
        </is>
      </c>
      <c r="C112" s="397">
        <f>'Resultados de escenarios'!L49</f>
        <v/>
      </c>
      <c r="D112" s="140" t="n"/>
      <c r="E112" s="144" t="n"/>
      <c r="F112" s="144" t="n"/>
      <c r="G112" s="144" t="n"/>
      <c r="H112" s="144" t="n"/>
    </row>
    <row r="113">
      <c r="B113" s="396" t="inlineStr">
        <is>
          <t>B</t>
        </is>
      </c>
      <c r="C113" s="397">
        <f>'Resultados de escenarios'!L50</f>
        <v/>
      </c>
      <c r="D113" s="140" t="n"/>
      <c r="E113" s="144" t="n"/>
      <c r="F113" s="144" t="n"/>
      <c r="G113" s="144" t="n"/>
      <c r="H113" s="144" t="n"/>
    </row>
    <row r="114">
      <c r="B114" s="396" t="inlineStr">
        <is>
          <t>C</t>
        </is>
      </c>
      <c r="C114" s="397">
        <f>'Resultados de escenarios'!L51</f>
        <v/>
      </c>
      <c r="D114" s="140" t="n"/>
      <c r="E114" s="144" t="n"/>
      <c r="F114" s="144" t="n"/>
      <c r="G114" s="144" t="n"/>
      <c r="H114" s="144" t="n"/>
    </row>
    <row r="115"/>
    <row r="116"/>
    <row r="117"/>
    <row r="118"/>
    <row r="119"/>
    <row r="120"/>
    <row r="121"/>
    <row r="122"/>
    <row r="123"/>
    <row r="124"/>
    <row r="125"/>
    <row r="126"/>
    <row r="127"/>
    <row r="128"/>
    <row r="129"/>
    <row r="130"/>
    <row r="131"/>
    <row r="132"/>
    <row r="133"/>
    <row r="134"/>
    <row r="135"/>
    <row r="136"/>
    <row r="137"/>
    <row r="138"/>
    <row r="139"/>
    <row r="140"/>
    <row r="141"/>
    <row r="142"/>
    <row r="143">
      <c r="B143" s="138" t="inlineStr">
        <is>
          <t>B) CARGABILIDAD</t>
        </is>
      </c>
    </row>
    <row customHeight="1" ht="6.75" r="144"/>
    <row customHeight="1" ht="6.75" r="145"/>
    <row customHeight="1" ht="6.75" r="146"/>
    <row r="147"/>
    <row r="148"/>
    <row r="149"/>
    <row r="150"/>
    <row r="151"/>
    <row r="152"/>
    <row r="153"/>
    <row r="154"/>
    <row r="155"/>
    <row r="156"/>
    <row r="157"/>
    <row r="158"/>
    <row r="159"/>
    <row r="160"/>
    <row r="161"/>
    <row r="162"/>
    <row r="163"/>
    <row r="164"/>
    <row r="165"/>
    <row r="166"/>
    <row r="167"/>
    <row r="168"/>
    <row r="169"/>
    <row r="170"/>
    <row r="171"/>
    <row r="172"/>
    <row r="173"/>
    <row r="174">
      <c r="B174" s="138" t="inlineStr">
        <is>
          <t>C) ANALISIS DE PERDIDAS</t>
        </is>
      </c>
    </row>
    <row r="175">
      <c r="B175" s="138" t="n"/>
    </row>
    <row r="176">
      <c r="B176" s="137" t="inlineStr">
        <is>
          <t>PORCENTAJES DE PÉRDIDAS POR SISTEMA ELÉCTRICO, RECONOCIDO POR OSINERGMIN</t>
        </is>
      </c>
    </row>
    <row r="177">
      <c r="B177" s="341" t="n"/>
    </row>
    <row customHeight="1" ht="31.5" r="178">
      <c r="B178" s="480" t="inlineStr">
        <is>
          <t>PERDIDA RECONOCIDA POR OSM (VAD)</t>
        </is>
      </c>
      <c r="C178" s="368" t="inlineStr">
        <is>
          <t>Alimentador</t>
        </is>
      </c>
      <c r="D178" s="368" t="inlineStr">
        <is>
          <t>Nombre Sist. Elect.</t>
        </is>
      </c>
      <c r="E178" s="368" t="inlineStr">
        <is>
          <t>Codigo Sist. Elect.</t>
        </is>
      </c>
      <c r="F178" s="368" t="inlineStr">
        <is>
          <t>Pérdidas Tec. kW (%)</t>
        </is>
      </c>
      <c r="G178" s="368" t="inlineStr">
        <is>
          <t>Pérdidas Tec. - kWh (%)</t>
        </is>
      </c>
    </row>
    <row r="179">
      <c r="B179" s="612" t="n"/>
      <c r="C179" s="369">
        <f>C8</f>
        <v/>
      </c>
      <c r="D179" s="369">
        <f>VLOOKUP(C8,'Clientes por radial_V2'!C6:E98,3,0)</f>
        <v/>
      </c>
      <c r="E179" s="370">
        <f>VLOOKUP(C8,'Clientes por radial_V2'!C6:D98,2,0)</f>
        <v/>
      </c>
      <c r="F179" s="382">
        <f>VLOOKUP(E179,Perdidas_ELDU!D6:H32,5,0)</f>
        <v/>
      </c>
      <c r="G179" s="370">
        <f>VLOOKUP(E179,Perdidas_ELDU!D7:H32,4,0)</f>
        <v/>
      </c>
      <c r="H179" s="376" t="n"/>
    </row>
    <row r="180">
      <c r="B180" s="138" t="n"/>
    </row>
    <row r="181">
      <c r="B181" s="137" t="inlineStr">
        <is>
          <t>PERDIDAS OBTENIDAS DE ESTUDIOS REALIZADOS AL ALIMENTADOR SL201 (Incorporando cargas solicitadas)</t>
        </is>
      </c>
    </row>
    <row r="182">
      <c r="B182" s="138" t="n"/>
    </row>
    <row r="183">
      <c r="B183" s="138" t="n"/>
      <c r="E183" s="372" t="n"/>
      <c r="F183" s="137" t="inlineStr">
        <is>
          <t>Precio de compra:</t>
        </is>
      </c>
      <c r="G183" s="137" t="n">
        <v>0.2307</v>
      </c>
      <c r="H183" s="137" t="inlineStr">
        <is>
          <t>S/kWh</t>
        </is>
      </c>
    </row>
    <row customHeight="1" ht="28.5" r="184">
      <c r="B184" s="384" t="n"/>
      <c r="C184" s="371" t="inlineStr">
        <is>
          <t>MD
kW</t>
        </is>
      </c>
      <c r="D184" s="371" t="inlineStr">
        <is>
          <t>MD
kWh</t>
        </is>
      </c>
      <c r="E184" s="371" t="inlineStr">
        <is>
          <t>Pérdidas Tec.
 kWh - año</t>
        </is>
      </c>
      <c r="F184" s="371" t="inlineStr">
        <is>
          <t>Pérdidas Tec.
 KWh (%)</t>
        </is>
      </c>
      <c r="G184" s="371" t="inlineStr">
        <is>
          <t>Pérdida/año no reconocida (S/.)</t>
        </is>
      </c>
      <c r="I184" s="377" t="n"/>
    </row>
    <row customHeight="1" ht="28.5" r="185">
      <c r="B185" s="480" t="inlineStr">
        <is>
          <t>ESTADO ACTUAL LL202</t>
        </is>
      </c>
      <c r="C185" s="385">
        <f>'Resultados de escenarios'!H5</f>
        <v/>
      </c>
      <c r="D185" s="399">
        <f>C185*24*365*'Resultados de escenarios'!$C$6</f>
        <v/>
      </c>
      <c r="E185" s="383">
        <f>'Resultados de escenarios'!D16*1000</f>
        <v/>
      </c>
      <c r="F185" s="400">
        <f>E185/D185</f>
        <v/>
      </c>
      <c r="G185" s="383">
        <f>-(($G$179/100)*D185-E185)*$G$183</f>
        <v/>
      </c>
    </row>
    <row customHeight="1" ht="28.5" r="186">
      <c r="B186" s="480" t="inlineStr">
        <is>
          <t>ESTADO PRYECTADO LL202</t>
        </is>
      </c>
      <c r="C186" s="385">
        <f>'Resultados de escenarios'!H39</f>
        <v/>
      </c>
      <c r="D186" s="399">
        <f>C186*24*365*'Resultados de escenarios'!$C$40</f>
        <v/>
      </c>
      <c r="E186" s="383">
        <f>'Resultados de escenarios'!D50*1000</f>
        <v/>
      </c>
      <c r="F186" s="400">
        <f>E186/D186</f>
        <v/>
      </c>
      <c r="G186" s="383">
        <f>-(($G$179/100)*D186-E186)*$G$183</f>
        <v/>
      </c>
    </row>
    <row customHeight="1" ht="28.5" r="187">
      <c r="B187" s="365" t="n"/>
      <c r="C187" s="365" t="n"/>
      <c r="D187" s="364" t="n"/>
      <c r="E187" s="365" t="n"/>
      <c r="F187" s="358" t="n"/>
    </row>
    <row customHeight="1" hidden="1" ht="28.5" r="188">
      <c r="B188" s="493" t="inlineStr">
        <is>
          <t>Por tener menores perdidas en el alimentador, se recomeinda atender desde el alimentador SL142</t>
        </is>
      </c>
    </row>
    <row customHeight="1" hidden="1" ht="28.5" r="189">
      <c r="B189" s="365" t="n"/>
      <c r="C189" s="365" t="n"/>
      <c r="D189" s="364" t="n"/>
      <c r="E189" s="365" t="n"/>
      <c r="F189" s="358" t="n"/>
    </row>
    <row customHeight="1" hidden="1" ht="28.5" r="190">
      <c r="B190" s="365" t="n"/>
      <c r="C190" s="365" t="n"/>
      <c r="D190" s="364" t="n"/>
      <c r="E190" s="365" t="n"/>
      <c r="F190" s="358" t="n"/>
    </row>
    <row hidden="1" r="191">
      <c r="B191" s="138" t="n"/>
      <c r="C191" s="349" t="n"/>
      <c r="D191" s="349" t="n"/>
    </row>
    <row hidden="1" r="192">
      <c r="B192" s="138" t="inlineStr">
        <is>
          <t>D) ANÁLISIS DEL TRANSFORMADOR DE POTENCIA</t>
        </is>
      </c>
      <c r="C192" s="349" t="n"/>
      <c r="D192" s="349" t="n"/>
    </row>
    <row hidden="1" r="193">
      <c r="B193" s="138" t="n"/>
      <c r="C193" s="349" t="n"/>
      <c r="D193" s="349" t="n"/>
    </row>
    <row hidden="1" r="194">
      <c r="B194" s="138" t="n"/>
      <c r="C194" s="349" t="n"/>
      <c r="D194" s="349" t="n"/>
    </row>
    <row hidden="1" r="195">
      <c r="B195" s="138" t="n"/>
      <c r="C195" s="349" t="n"/>
      <c r="D195" s="349" t="n"/>
    </row>
    <row hidden="1" r="196">
      <c r="B196" s="138" t="n"/>
      <c r="C196" s="349" t="n"/>
      <c r="D196" s="349" t="n"/>
    </row>
    <row hidden="1" r="197">
      <c r="B197" s="138" t="n"/>
      <c r="C197" s="349" t="n"/>
      <c r="D197" s="349" t="n"/>
    </row>
    <row hidden="1" r="198">
      <c r="B198" s="138" t="n"/>
      <c r="C198" s="349" t="n"/>
      <c r="D198" s="349" t="n"/>
    </row>
    <row hidden="1" r="199">
      <c r="B199" s="138" t="n"/>
      <c r="C199" s="349" t="n"/>
      <c r="D199" s="349" t="n"/>
    </row>
    <row hidden="1" r="200">
      <c r="B200" s="138" t="n"/>
      <c r="C200" s="349" t="n"/>
      <c r="D200" s="349" t="n"/>
    </row>
    <row hidden="1" r="201">
      <c r="B201" s="138" t="n"/>
      <c r="C201" s="349" t="n"/>
      <c r="D201" s="349" t="n"/>
    </row>
    <row hidden="1" r="202">
      <c r="B202" s="138" t="n"/>
      <c r="C202" s="349" t="n"/>
      <c r="D202" s="349" t="n"/>
    </row>
    <row hidden="1" r="203">
      <c r="B203" s="138" t="n"/>
      <c r="C203" s="349" t="n"/>
      <c r="D203" s="349" t="n"/>
    </row>
    <row hidden="1" r="204">
      <c r="B204" s="138" t="n"/>
      <c r="C204" s="349" t="n"/>
      <c r="D204" s="349" t="n"/>
    </row>
    <row hidden="1" r="205">
      <c r="B205" s="138" t="n"/>
      <c r="C205" s="349" t="n"/>
      <c r="D205" s="349" t="n"/>
    </row>
    <row hidden="1" r="206">
      <c r="B206" s="138" t="n"/>
      <c r="C206" s="349" t="n"/>
      <c r="D206" s="349" t="n"/>
    </row>
    <row hidden="1" r="207"/>
    <row hidden="1" r="208">
      <c r="B208" s="142" t="inlineStr">
        <is>
          <t>3. CONCLUSIONES Y RECOMENDACIONES</t>
        </is>
      </c>
    </row>
    <row hidden="1" r="209">
      <c r="B209" s="142" t="n"/>
    </row>
    <row customHeight="1" hidden="1" ht="409.35" r="210">
      <c r="A210" s="145" t="n"/>
      <c r="B210" s="479" t="inlineStr">
        <is>
          <t>De acuerdo con los antecedentes, descripción y escenarios realizados se concluye que, se deberia de atender la demanda solicitada desde el alimentador SL142, para lo cual, es necesario realizar una ampliación de red MT de 0.45 KM, el cual va a reforzar el alimentador para una mejor confiabilidad del sistema electrico de Ica.</t>
        </is>
      </c>
      <c r="K210" s="146" t="n"/>
    </row>
    <row customHeight="1" hidden="1" ht="15.75" r="211">
      <c r="B211" s="479" t="n"/>
    </row>
    <row hidden="1" r="212">
      <c r="B212" s="147" t="n"/>
      <c r="C212" s="147" t="n"/>
      <c r="D212" s="147" t="n"/>
      <c r="E212" s="147" t="n"/>
      <c r="F212" s="147" t="n"/>
      <c r="G212" s="147" t="n"/>
      <c r="H212" s="147" t="n"/>
      <c r="I212" s="147" t="n"/>
      <c r="J212" s="147" t="n"/>
      <c r="K212" s="147" t="n"/>
    </row>
    <row r="213">
      <c r="B213" s="147" t="n"/>
      <c r="C213" s="147" t="n"/>
      <c r="D213" s="147" t="n"/>
      <c r="E213" s="147" t="n"/>
      <c r="F213" s="147" t="n"/>
      <c r="G213" s="147" t="n"/>
      <c r="H213" s="147" t="n"/>
      <c r="I213" s="147" t="n"/>
      <c r="J213" s="147" t="n"/>
      <c r="K213" s="147" t="n"/>
    </row>
    <row r="214">
      <c r="B214" s="147" t="n"/>
      <c r="C214" s="147" t="n"/>
      <c r="D214" s="147" t="n"/>
      <c r="E214" s="147" t="n"/>
      <c r="F214" s="147" t="n"/>
      <c r="G214" s="147" t="n"/>
      <c r="H214" s="147" t="n"/>
      <c r="I214" s="147" t="n"/>
      <c r="J214" s="147" t="n"/>
      <c r="K214" s="147" t="n"/>
    </row>
  </sheetData>
  <mergeCells count="21">
    <mergeCell ref="B30:D30"/>
    <mergeCell ref="E30:H30"/>
    <mergeCell ref="B31:D31"/>
    <mergeCell ref="B32:D32"/>
    <mergeCell ref="B33:D33"/>
    <mergeCell ref="C7:E7"/>
    <mergeCell ref="B14:J14"/>
    <mergeCell ref="B22:J22"/>
    <mergeCell ref="B23:J23"/>
    <mergeCell ref="B16:J16"/>
    <mergeCell ref="B17:J17"/>
    <mergeCell ref="B18:J18"/>
    <mergeCell ref="B211:K211"/>
    <mergeCell ref="B178:B179"/>
    <mergeCell ref="B210:J210"/>
    <mergeCell ref="B105:D105"/>
    <mergeCell ref="E105:H105"/>
    <mergeCell ref="B106:D106"/>
    <mergeCell ref="B107:D107"/>
    <mergeCell ref="B108:D108"/>
    <mergeCell ref="B188:J188"/>
  </mergeCells>
  <pageMargins bottom="0.75" footer="0.3" header="0.3" left="0.7" right="0.7" top="0.75"/>
  <pageSetup orientation="portrait" scale="23"/>
  <headerFooter>
    <oddHeader>&amp;L&amp;"Calibri"&amp;1 &amp;K000000 Información Pública#_x000d_</oddHeader>
    <oddFooter/>
    <evenHeader/>
    <evenFooter/>
    <firstHeader/>
    <firstFooter/>
  </headerFooter>
  <rowBreaks count="1" manualBreakCount="1">
    <brk id="173" man="1" max="10" min="0"/>
  </rowBreaks>
  <drawing r:id="rId1"/>
</worksheet>
</file>

<file path=xl/worksheets/sheet2.xml><?xml version="1.0" encoding="utf-8"?>
<worksheet xmlns:r="http://schemas.openxmlformats.org/officeDocument/2006/relationships" xmlns="http://schemas.openxmlformats.org/spreadsheetml/2006/main">
  <sheetPr>
    <outlinePr summaryBelow="1" summaryRight="1"/>
    <pageSetUpPr fitToPage="1"/>
  </sheetPr>
  <dimension ref="A1:L53"/>
  <sheetViews>
    <sheetView topLeftCell="A11" workbookViewId="0" zoomScaleNormal="100">
      <selection activeCell="L19" sqref="L19"/>
    </sheetView>
  </sheetViews>
  <sheetFormatPr baseColWidth="10" defaultColWidth="11.42578125" defaultRowHeight="12.75"/>
  <cols>
    <col customWidth="1" max="1" min="1" style="37" width="5.42578125"/>
    <col customWidth="1" max="2" min="2" style="37" width="4.85546875"/>
    <col customWidth="1" max="3" min="3" style="37" width="15.5703125"/>
    <col customWidth="1" max="5" min="4" style="37" width="10.5703125"/>
    <col customWidth="1" max="6" min="6" style="37" width="11.85546875"/>
    <col bestFit="1" customWidth="1" max="7" min="7" style="37" width="10.5703125"/>
    <col customWidth="1" max="8" min="8" style="37" width="13.42578125"/>
    <col customWidth="1" max="9" min="9" style="37" width="12.5703125"/>
    <col customWidth="1" max="10" min="10" style="37" width="15.5703125"/>
    <col customWidth="1" max="11" min="11" style="37" width="17.5703125"/>
    <col customWidth="1" max="12" min="12" style="37" width="15.5703125"/>
    <col customWidth="1" max="256" min="13" style="37" width="11.42578125"/>
    <col customWidth="1" max="257" min="257" style="37" width="5.42578125"/>
    <col customWidth="1" max="258" min="258" style="37" width="4.85546875"/>
    <col customWidth="1" max="259" min="259" style="37" width="15.5703125"/>
    <col customWidth="1" max="261" min="260" style="37" width="10.5703125"/>
    <col customWidth="1" max="262" min="262" style="37" width="11.85546875"/>
    <col customWidth="1" max="263" min="263" style="37" width="11.5703125"/>
    <col customWidth="1" max="264" min="264" style="37" width="13.42578125"/>
    <col customWidth="1" max="265" min="265" style="37" width="12.5703125"/>
    <col customWidth="1" max="267" min="266" style="37" width="10.5703125"/>
    <col customWidth="1" max="512" min="268" style="37" width="11.42578125"/>
    <col customWidth="1" max="513" min="513" style="37" width="5.42578125"/>
    <col customWidth="1" max="514" min="514" style="37" width="4.85546875"/>
    <col customWidth="1" max="515" min="515" style="37" width="15.5703125"/>
    <col customWidth="1" max="517" min="516" style="37" width="10.5703125"/>
    <col customWidth="1" max="518" min="518" style="37" width="11.85546875"/>
    <col customWidth="1" max="519" min="519" style="37" width="11.5703125"/>
    <col customWidth="1" max="520" min="520" style="37" width="13.42578125"/>
    <col customWidth="1" max="521" min="521" style="37" width="12.5703125"/>
    <col customWidth="1" max="523" min="522" style="37" width="10.5703125"/>
    <col customWidth="1" max="768" min="524" style="37" width="11.42578125"/>
    <col customWidth="1" max="769" min="769" style="37" width="5.42578125"/>
    <col customWidth="1" max="770" min="770" style="37" width="4.85546875"/>
    <col customWidth="1" max="771" min="771" style="37" width="15.5703125"/>
    <col customWidth="1" max="773" min="772" style="37" width="10.5703125"/>
    <col customWidth="1" max="774" min="774" style="37" width="11.85546875"/>
    <col customWidth="1" max="775" min="775" style="37" width="11.5703125"/>
    <col customWidth="1" max="776" min="776" style="37" width="13.42578125"/>
    <col customWidth="1" max="777" min="777" style="37" width="12.5703125"/>
    <col customWidth="1" max="779" min="778" style="37" width="10.5703125"/>
    <col customWidth="1" max="1024" min="780" style="37" width="11.42578125"/>
    <col customWidth="1" max="1025" min="1025" style="37" width="5.42578125"/>
    <col customWidth="1" max="1026" min="1026" style="37" width="4.85546875"/>
    <col customWidth="1" max="1027" min="1027" style="37" width="15.5703125"/>
    <col customWidth="1" max="1029" min="1028" style="37" width="10.5703125"/>
    <col customWidth="1" max="1030" min="1030" style="37" width="11.85546875"/>
    <col customWidth="1" max="1031" min="1031" style="37" width="11.5703125"/>
    <col customWidth="1" max="1032" min="1032" style="37" width="13.42578125"/>
    <col customWidth="1" max="1033" min="1033" style="37" width="12.5703125"/>
    <col customWidth="1" max="1035" min="1034" style="37" width="10.5703125"/>
    <col customWidth="1" max="1280" min="1036" style="37" width="11.42578125"/>
    <col customWidth="1" max="1281" min="1281" style="37" width="5.42578125"/>
    <col customWidth="1" max="1282" min="1282" style="37" width="4.85546875"/>
    <col customWidth="1" max="1283" min="1283" style="37" width="15.5703125"/>
    <col customWidth="1" max="1285" min="1284" style="37" width="10.5703125"/>
    <col customWidth="1" max="1286" min="1286" style="37" width="11.85546875"/>
    <col customWidth="1" max="1287" min="1287" style="37" width="11.5703125"/>
    <col customWidth="1" max="1288" min="1288" style="37" width="13.42578125"/>
    <col customWidth="1" max="1289" min="1289" style="37" width="12.5703125"/>
    <col customWidth="1" max="1291" min="1290" style="37" width="10.5703125"/>
    <col customWidth="1" max="1536" min="1292" style="37" width="11.42578125"/>
    <col customWidth="1" max="1537" min="1537" style="37" width="5.42578125"/>
    <col customWidth="1" max="1538" min="1538" style="37" width="4.85546875"/>
    <col customWidth="1" max="1539" min="1539" style="37" width="15.5703125"/>
    <col customWidth="1" max="1541" min="1540" style="37" width="10.5703125"/>
    <col customWidth="1" max="1542" min="1542" style="37" width="11.85546875"/>
    <col customWidth="1" max="1543" min="1543" style="37" width="11.5703125"/>
    <col customWidth="1" max="1544" min="1544" style="37" width="13.42578125"/>
    <col customWidth="1" max="1545" min="1545" style="37" width="12.5703125"/>
    <col customWidth="1" max="1547" min="1546" style="37" width="10.5703125"/>
    <col customWidth="1" max="1792" min="1548" style="37" width="11.42578125"/>
    <col customWidth="1" max="1793" min="1793" style="37" width="5.42578125"/>
    <col customWidth="1" max="1794" min="1794" style="37" width="4.85546875"/>
    <col customWidth="1" max="1795" min="1795" style="37" width="15.5703125"/>
    <col customWidth="1" max="1797" min="1796" style="37" width="10.5703125"/>
    <col customWidth="1" max="1798" min="1798" style="37" width="11.85546875"/>
    <col customWidth="1" max="1799" min="1799" style="37" width="11.5703125"/>
    <col customWidth="1" max="1800" min="1800" style="37" width="13.42578125"/>
    <col customWidth="1" max="1801" min="1801" style="37" width="12.5703125"/>
    <col customWidth="1" max="1803" min="1802" style="37" width="10.5703125"/>
    <col customWidth="1" max="2048" min="1804" style="37" width="11.42578125"/>
    <col customWidth="1" max="2049" min="2049" style="37" width="5.42578125"/>
    <col customWidth="1" max="2050" min="2050" style="37" width="4.85546875"/>
    <col customWidth="1" max="2051" min="2051" style="37" width="15.5703125"/>
    <col customWidth="1" max="2053" min="2052" style="37" width="10.5703125"/>
    <col customWidth="1" max="2054" min="2054" style="37" width="11.85546875"/>
    <col customWidth="1" max="2055" min="2055" style="37" width="11.5703125"/>
    <col customWidth="1" max="2056" min="2056" style="37" width="13.42578125"/>
    <col customWidth="1" max="2057" min="2057" style="37" width="12.5703125"/>
    <col customWidth="1" max="2059" min="2058" style="37" width="10.5703125"/>
    <col customWidth="1" max="2304" min="2060" style="37" width="11.42578125"/>
    <col customWidth="1" max="2305" min="2305" style="37" width="5.42578125"/>
    <col customWidth="1" max="2306" min="2306" style="37" width="4.85546875"/>
    <col customWidth="1" max="2307" min="2307" style="37" width="15.5703125"/>
    <col customWidth="1" max="2309" min="2308" style="37" width="10.5703125"/>
    <col customWidth="1" max="2310" min="2310" style="37" width="11.85546875"/>
    <col customWidth="1" max="2311" min="2311" style="37" width="11.5703125"/>
    <col customWidth="1" max="2312" min="2312" style="37" width="13.42578125"/>
    <col customWidth="1" max="2313" min="2313" style="37" width="12.5703125"/>
    <col customWidth="1" max="2315" min="2314" style="37" width="10.5703125"/>
    <col customWidth="1" max="2560" min="2316" style="37" width="11.42578125"/>
    <col customWidth="1" max="2561" min="2561" style="37" width="5.42578125"/>
    <col customWidth="1" max="2562" min="2562" style="37" width="4.85546875"/>
    <col customWidth="1" max="2563" min="2563" style="37" width="15.5703125"/>
    <col customWidth="1" max="2565" min="2564" style="37" width="10.5703125"/>
    <col customWidth="1" max="2566" min="2566" style="37" width="11.85546875"/>
    <col customWidth="1" max="2567" min="2567" style="37" width="11.5703125"/>
    <col customWidth="1" max="2568" min="2568" style="37" width="13.42578125"/>
    <col customWidth="1" max="2569" min="2569" style="37" width="12.5703125"/>
    <col customWidth="1" max="2571" min="2570" style="37" width="10.5703125"/>
    <col customWidth="1" max="2816" min="2572" style="37" width="11.42578125"/>
    <col customWidth="1" max="2817" min="2817" style="37" width="5.42578125"/>
    <col customWidth="1" max="2818" min="2818" style="37" width="4.85546875"/>
    <col customWidth="1" max="2819" min="2819" style="37" width="15.5703125"/>
    <col customWidth="1" max="2821" min="2820" style="37" width="10.5703125"/>
    <col customWidth="1" max="2822" min="2822" style="37" width="11.85546875"/>
    <col customWidth="1" max="2823" min="2823" style="37" width="11.5703125"/>
    <col customWidth="1" max="2824" min="2824" style="37" width="13.42578125"/>
    <col customWidth="1" max="2825" min="2825" style="37" width="12.5703125"/>
    <col customWidth="1" max="2827" min="2826" style="37" width="10.5703125"/>
    <col customWidth="1" max="3072" min="2828" style="37" width="11.42578125"/>
    <col customWidth="1" max="3073" min="3073" style="37" width="5.42578125"/>
    <col customWidth="1" max="3074" min="3074" style="37" width="4.85546875"/>
    <col customWidth="1" max="3075" min="3075" style="37" width="15.5703125"/>
    <col customWidth="1" max="3077" min="3076" style="37" width="10.5703125"/>
    <col customWidth="1" max="3078" min="3078" style="37" width="11.85546875"/>
    <col customWidth="1" max="3079" min="3079" style="37" width="11.5703125"/>
    <col customWidth="1" max="3080" min="3080" style="37" width="13.42578125"/>
    <col customWidth="1" max="3081" min="3081" style="37" width="12.5703125"/>
    <col customWidth="1" max="3083" min="3082" style="37" width="10.5703125"/>
    <col customWidth="1" max="3328" min="3084" style="37" width="11.42578125"/>
    <col customWidth="1" max="3329" min="3329" style="37" width="5.42578125"/>
    <col customWidth="1" max="3330" min="3330" style="37" width="4.85546875"/>
    <col customWidth="1" max="3331" min="3331" style="37" width="15.5703125"/>
    <col customWidth="1" max="3333" min="3332" style="37" width="10.5703125"/>
    <col customWidth="1" max="3334" min="3334" style="37" width="11.85546875"/>
    <col customWidth="1" max="3335" min="3335" style="37" width="11.5703125"/>
    <col customWidth="1" max="3336" min="3336" style="37" width="13.42578125"/>
    <col customWidth="1" max="3337" min="3337" style="37" width="12.5703125"/>
    <col customWidth="1" max="3339" min="3338" style="37" width="10.5703125"/>
    <col customWidth="1" max="3584" min="3340" style="37" width="11.42578125"/>
    <col customWidth="1" max="3585" min="3585" style="37" width="5.42578125"/>
    <col customWidth="1" max="3586" min="3586" style="37" width="4.85546875"/>
    <col customWidth="1" max="3587" min="3587" style="37" width="15.5703125"/>
    <col customWidth="1" max="3589" min="3588" style="37" width="10.5703125"/>
    <col customWidth="1" max="3590" min="3590" style="37" width="11.85546875"/>
    <col customWidth="1" max="3591" min="3591" style="37" width="11.5703125"/>
    <col customWidth="1" max="3592" min="3592" style="37" width="13.42578125"/>
    <col customWidth="1" max="3593" min="3593" style="37" width="12.5703125"/>
    <col customWidth="1" max="3595" min="3594" style="37" width="10.5703125"/>
    <col customWidth="1" max="3840" min="3596" style="37" width="11.42578125"/>
    <col customWidth="1" max="3841" min="3841" style="37" width="5.42578125"/>
    <col customWidth="1" max="3842" min="3842" style="37" width="4.85546875"/>
    <col customWidth="1" max="3843" min="3843" style="37" width="15.5703125"/>
    <col customWidth="1" max="3845" min="3844" style="37" width="10.5703125"/>
    <col customWidth="1" max="3846" min="3846" style="37" width="11.85546875"/>
    <col customWidth="1" max="3847" min="3847" style="37" width="11.5703125"/>
    <col customWidth="1" max="3848" min="3848" style="37" width="13.42578125"/>
    <col customWidth="1" max="3849" min="3849" style="37" width="12.5703125"/>
    <col customWidth="1" max="3851" min="3850" style="37" width="10.5703125"/>
    <col customWidth="1" max="4096" min="3852" style="37" width="11.42578125"/>
    <col customWidth="1" max="4097" min="4097" style="37" width="5.42578125"/>
    <col customWidth="1" max="4098" min="4098" style="37" width="4.85546875"/>
    <col customWidth="1" max="4099" min="4099" style="37" width="15.5703125"/>
    <col customWidth="1" max="4101" min="4100" style="37" width="10.5703125"/>
    <col customWidth="1" max="4102" min="4102" style="37" width="11.85546875"/>
    <col customWidth="1" max="4103" min="4103" style="37" width="11.5703125"/>
    <col customWidth="1" max="4104" min="4104" style="37" width="13.42578125"/>
    <col customWidth="1" max="4105" min="4105" style="37" width="12.5703125"/>
    <col customWidth="1" max="4107" min="4106" style="37" width="10.5703125"/>
    <col customWidth="1" max="4352" min="4108" style="37" width="11.42578125"/>
    <col customWidth="1" max="4353" min="4353" style="37" width="5.42578125"/>
    <col customWidth="1" max="4354" min="4354" style="37" width="4.85546875"/>
    <col customWidth="1" max="4355" min="4355" style="37" width="15.5703125"/>
    <col customWidth="1" max="4357" min="4356" style="37" width="10.5703125"/>
    <col customWidth="1" max="4358" min="4358" style="37" width="11.85546875"/>
    <col customWidth="1" max="4359" min="4359" style="37" width="11.5703125"/>
    <col customWidth="1" max="4360" min="4360" style="37" width="13.42578125"/>
    <col customWidth="1" max="4361" min="4361" style="37" width="12.5703125"/>
    <col customWidth="1" max="4363" min="4362" style="37" width="10.5703125"/>
    <col customWidth="1" max="4608" min="4364" style="37" width="11.42578125"/>
    <col customWidth="1" max="4609" min="4609" style="37" width="5.42578125"/>
    <col customWidth="1" max="4610" min="4610" style="37" width="4.85546875"/>
    <col customWidth="1" max="4611" min="4611" style="37" width="15.5703125"/>
    <col customWidth="1" max="4613" min="4612" style="37" width="10.5703125"/>
    <col customWidth="1" max="4614" min="4614" style="37" width="11.85546875"/>
    <col customWidth="1" max="4615" min="4615" style="37" width="11.5703125"/>
    <col customWidth="1" max="4616" min="4616" style="37" width="13.42578125"/>
    <col customWidth="1" max="4617" min="4617" style="37" width="12.5703125"/>
    <col customWidth="1" max="4619" min="4618" style="37" width="10.5703125"/>
    <col customWidth="1" max="4864" min="4620" style="37" width="11.42578125"/>
    <col customWidth="1" max="4865" min="4865" style="37" width="5.42578125"/>
    <col customWidth="1" max="4866" min="4866" style="37" width="4.85546875"/>
    <col customWidth="1" max="4867" min="4867" style="37" width="15.5703125"/>
    <col customWidth="1" max="4869" min="4868" style="37" width="10.5703125"/>
    <col customWidth="1" max="4870" min="4870" style="37" width="11.85546875"/>
    <col customWidth="1" max="4871" min="4871" style="37" width="11.5703125"/>
    <col customWidth="1" max="4872" min="4872" style="37" width="13.42578125"/>
    <col customWidth="1" max="4873" min="4873" style="37" width="12.5703125"/>
    <col customWidth="1" max="4875" min="4874" style="37" width="10.5703125"/>
    <col customWidth="1" max="5120" min="4876" style="37" width="11.42578125"/>
    <col customWidth="1" max="5121" min="5121" style="37" width="5.42578125"/>
    <col customWidth="1" max="5122" min="5122" style="37" width="4.85546875"/>
    <col customWidth="1" max="5123" min="5123" style="37" width="15.5703125"/>
    <col customWidth="1" max="5125" min="5124" style="37" width="10.5703125"/>
    <col customWidth="1" max="5126" min="5126" style="37" width="11.85546875"/>
    <col customWidth="1" max="5127" min="5127" style="37" width="11.5703125"/>
    <col customWidth="1" max="5128" min="5128" style="37" width="13.42578125"/>
    <col customWidth="1" max="5129" min="5129" style="37" width="12.5703125"/>
    <col customWidth="1" max="5131" min="5130" style="37" width="10.5703125"/>
    <col customWidth="1" max="5376" min="5132" style="37" width="11.42578125"/>
    <col customWidth="1" max="5377" min="5377" style="37" width="5.42578125"/>
    <col customWidth="1" max="5378" min="5378" style="37" width="4.85546875"/>
    <col customWidth="1" max="5379" min="5379" style="37" width="15.5703125"/>
    <col customWidth="1" max="5381" min="5380" style="37" width="10.5703125"/>
    <col customWidth="1" max="5382" min="5382" style="37" width="11.85546875"/>
    <col customWidth="1" max="5383" min="5383" style="37" width="11.5703125"/>
    <col customWidth="1" max="5384" min="5384" style="37" width="13.42578125"/>
    <col customWidth="1" max="5385" min="5385" style="37" width="12.5703125"/>
    <col customWidth="1" max="5387" min="5386" style="37" width="10.5703125"/>
    <col customWidth="1" max="5632" min="5388" style="37" width="11.42578125"/>
    <col customWidth="1" max="5633" min="5633" style="37" width="5.42578125"/>
    <col customWidth="1" max="5634" min="5634" style="37" width="4.85546875"/>
    <col customWidth="1" max="5635" min="5635" style="37" width="15.5703125"/>
    <col customWidth="1" max="5637" min="5636" style="37" width="10.5703125"/>
    <col customWidth="1" max="5638" min="5638" style="37" width="11.85546875"/>
    <col customWidth="1" max="5639" min="5639" style="37" width="11.5703125"/>
    <col customWidth="1" max="5640" min="5640" style="37" width="13.42578125"/>
    <col customWidth="1" max="5641" min="5641" style="37" width="12.5703125"/>
    <col customWidth="1" max="5643" min="5642" style="37" width="10.5703125"/>
    <col customWidth="1" max="5888" min="5644" style="37" width="11.42578125"/>
    <col customWidth="1" max="5889" min="5889" style="37" width="5.42578125"/>
    <col customWidth="1" max="5890" min="5890" style="37" width="4.85546875"/>
    <col customWidth="1" max="5891" min="5891" style="37" width="15.5703125"/>
    <col customWidth="1" max="5893" min="5892" style="37" width="10.5703125"/>
    <col customWidth="1" max="5894" min="5894" style="37" width="11.85546875"/>
    <col customWidth="1" max="5895" min="5895" style="37" width="11.5703125"/>
    <col customWidth="1" max="5896" min="5896" style="37" width="13.42578125"/>
    <col customWidth="1" max="5897" min="5897" style="37" width="12.5703125"/>
    <col customWidth="1" max="5899" min="5898" style="37" width="10.5703125"/>
    <col customWidth="1" max="6144" min="5900" style="37" width="11.42578125"/>
    <col customWidth="1" max="6145" min="6145" style="37" width="5.42578125"/>
    <col customWidth="1" max="6146" min="6146" style="37" width="4.85546875"/>
    <col customWidth="1" max="6147" min="6147" style="37" width="15.5703125"/>
    <col customWidth="1" max="6149" min="6148" style="37" width="10.5703125"/>
    <col customWidth="1" max="6150" min="6150" style="37" width="11.85546875"/>
    <col customWidth="1" max="6151" min="6151" style="37" width="11.5703125"/>
    <col customWidth="1" max="6152" min="6152" style="37" width="13.42578125"/>
    <col customWidth="1" max="6153" min="6153" style="37" width="12.5703125"/>
    <col customWidth="1" max="6155" min="6154" style="37" width="10.5703125"/>
    <col customWidth="1" max="6400" min="6156" style="37" width="11.42578125"/>
    <col customWidth="1" max="6401" min="6401" style="37" width="5.42578125"/>
    <col customWidth="1" max="6402" min="6402" style="37" width="4.85546875"/>
    <col customWidth="1" max="6403" min="6403" style="37" width="15.5703125"/>
    <col customWidth="1" max="6405" min="6404" style="37" width="10.5703125"/>
    <col customWidth="1" max="6406" min="6406" style="37" width="11.85546875"/>
    <col customWidth="1" max="6407" min="6407" style="37" width="11.5703125"/>
    <col customWidth="1" max="6408" min="6408" style="37" width="13.42578125"/>
    <col customWidth="1" max="6409" min="6409" style="37" width="12.5703125"/>
    <col customWidth="1" max="6411" min="6410" style="37" width="10.5703125"/>
    <col customWidth="1" max="6656" min="6412" style="37" width="11.42578125"/>
    <col customWidth="1" max="6657" min="6657" style="37" width="5.42578125"/>
    <col customWidth="1" max="6658" min="6658" style="37" width="4.85546875"/>
    <col customWidth="1" max="6659" min="6659" style="37" width="15.5703125"/>
    <col customWidth="1" max="6661" min="6660" style="37" width="10.5703125"/>
    <col customWidth="1" max="6662" min="6662" style="37" width="11.85546875"/>
    <col customWidth="1" max="6663" min="6663" style="37" width="11.5703125"/>
    <col customWidth="1" max="6664" min="6664" style="37" width="13.42578125"/>
    <col customWidth="1" max="6665" min="6665" style="37" width="12.5703125"/>
    <col customWidth="1" max="6667" min="6666" style="37" width="10.5703125"/>
    <col customWidth="1" max="6912" min="6668" style="37" width="11.42578125"/>
    <col customWidth="1" max="6913" min="6913" style="37" width="5.42578125"/>
    <col customWidth="1" max="6914" min="6914" style="37" width="4.85546875"/>
    <col customWidth="1" max="6915" min="6915" style="37" width="15.5703125"/>
    <col customWidth="1" max="6917" min="6916" style="37" width="10.5703125"/>
    <col customWidth="1" max="6918" min="6918" style="37" width="11.85546875"/>
    <col customWidth="1" max="6919" min="6919" style="37" width="11.5703125"/>
    <col customWidth="1" max="6920" min="6920" style="37" width="13.42578125"/>
    <col customWidth="1" max="6921" min="6921" style="37" width="12.5703125"/>
    <col customWidth="1" max="6923" min="6922" style="37" width="10.5703125"/>
    <col customWidth="1" max="7168" min="6924" style="37" width="11.42578125"/>
    <col customWidth="1" max="7169" min="7169" style="37" width="5.42578125"/>
    <col customWidth="1" max="7170" min="7170" style="37" width="4.85546875"/>
    <col customWidth="1" max="7171" min="7171" style="37" width="15.5703125"/>
    <col customWidth="1" max="7173" min="7172" style="37" width="10.5703125"/>
    <col customWidth="1" max="7174" min="7174" style="37" width="11.85546875"/>
    <col customWidth="1" max="7175" min="7175" style="37" width="11.5703125"/>
    <col customWidth="1" max="7176" min="7176" style="37" width="13.42578125"/>
    <col customWidth="1" max="7177" min="7177" style="37" width="12.5703125"/>
    <col customWidth="1" max="7179" min="7178" style="37" width="10.5703125"/>
    <col customWidth="1" max="7424" min="7180" style="37" width="11.42578125"/>
    <col customWidth="1" max="7425" min="7425" style="37" width="5.42578125"/>
    <col customWidth="1" max="7426" min="7426" style="37" width="4.85546875"/>
    <col customWidth="1" max="7427" min="7427" style="37" width="15.5703125"/>
    <col customWidth="1" max="7429" min="7428" style="37" width="10.5703125"/>
    <col customWidth="1" max="7430" min="7430" style="37" width="11.85546875"/>
    <col customWidth="1" max="7431" min="7431" style="37" width="11.5703125"/>
    <col customWidth="1" max="7432" min="7432" style="37" width="13.42578125"/>
    <col customWidth="1" max="7433" min="7433" style="37" width="12.5703125"/>
    <col customWidth="1" max="7435" min="7434" style="37" width="10.5703125"/>
    <col customWidth="1" max="7680" min="7436" style="37" width="11.42578125"/>
    <col customWidth="1" max="7681" min="7681" style="37" width="5.42578125"/>
    <col customWidth="1" max="7682" min="7682" style="37" width="4.85546875"/>
    <col customWidth="1" max="7683" min="7683" style="37" width="15.5703125"/>
    <col customWidth="1" max="7685" min="7684" style="37" width="10.5703125"/>
    <col customWidth="1" max="7686" min="7686" style="37" width="11.85546875"/>
    <col customWidth="1" max="7687" min="7687" style="37" width="11.5703125"/>
    <col customWidth="1" max="7688" min="7688" style="37" width="13.42578125"/>
    <col customWidth="1" max="7689" min="7689" style="37" width="12.5703125"/>
    <col customWidth="1" max="7691" min="7690" style="37" width="10.5703125"/>
    <col customWidth="1" max="7936" min="7692" style="37" width="11.42578125"/>
    <col customWidth="1" max="7937" min="7937" style="37" width="5.42578125"/>
    <col customWidth="1" max="7938" min="7938" style="37" width="4.85546875"/>
    <col customWidth="1" max="7939" min="7939" style="37" width="15.5703125"/>
    <col customWidth="1" max="7941" min="7940" style="37" width="10.5703125"/>
    <col customWidth="1" max="7942" min="7942" style="37" width="11.85546875"/>
    <col customWidth="1" max="7943" min="7943" style="37" width="11.5703125"/>
    <col customWidth="1" max="7944" min="7944" style="37" width="13.42578125"/>
    <col customWidth="1" max="7945" min="7945" style="37" width="12.5703125"/>
    <col customWidth="1" max="7947" min="7946" style="37" width="10.5703125"/>
    <col customWidth="1" max="8192" min="7948" style="37" width="11.42578125"/>
    <col customWidth="1" max="8193" min="8193" style="37" width="5.42578125"/>
    <col customWidth="1" max="8194" min="8194" style="37" width="4.85546875"/>
    <col customWidth="1" max="8195" min="8195" style="37" width="15.5703125"/>
    <col customWidth="1" max="8197" min="8196" style="37" width="10.5703125"/>
    <col customWidth="1" max="8198" min="8198" style="37" width="11.85546875"/>
    <col customWidth="1" max="8199" min="8199" style="37" width="11.5703125"/>
    <col customWidth="1" max="8200" min="8200" style="37" width="13.42578125"/>
    <col customWidth="1" max="8201" min="8201" style="37" width="12.5703125"/>
    <col customWidth="1" max="8203" min="8202" style="37" width="10.5703125"/>
    <col customWidth="1" max="8448" min="8204" style="37" width="11.42578125"/>
    <col customWidth="1" max="8449" min="8449" style="37" width="5.42578125"/>
    <col customWidth="1" max="8450" min="8450" style="37" width="4.85546875"/>
    <col customWidth="1" max="8451" min="8451" style="37" width="15.5703125"/>
    <col customWidth="1" max="8453" min="8452" style="37" width="10.5703125"/>
    <col customWidth="1" max="8454" min="8454" style="37" width="11.85546875"/>
    <col customWidth="1" max="8455" min="8455" style="37" width="11.5703125"/>
    <col customWidth="1" max="8456" min="8456" style="37" width="13.42578125"/>
    <col customWidth="1" max="8457" min="8457" style="37" width="12.5703125"/>
    <col customWidth="1" max="8459" min="8458" style="37" width="10.5703125"/>
    <col customWidth="1" max="8704" min="8460" style="37" width="11.42578125"/>
    <col customWidth="1" max="8705" min="8705" style="37" width="5.42578125"/>
    <col customWidth="1" max="8706" min="8706" style="37" width="4.85546875"/>
    <col customWidth="1" max="8707" min="8707" style="37" width="15.5703125"/>
    <col customWidth="1" max="8709" min="8708" style="37" width="10.5703125"/>
    <col customWidth="1" max="8710" min="8710" style="37" width="11.85546875"/>
    <col customWidth="1" max="8711" min="8711" style="37" width="11.5703125"/>
    <col customWidth="1" max="8712" min="8712" style="37" width="13.42578125"/>
    <col customWidth="1" max="8713" min="8713" style="37" width="12.5703125"/>
    <col customWidth="1" max="8715" min="8714" style="37" width="10.5703125"/>
    <col customWidth="1" max="8960" min="8716" style="37" width="11.42578125"/>
    <col customWidth="1" max="8961" min="8961" style="37" width="5.42578125"/>
    <col customWidth="1" max="8962" min="8962" style="37" width="4.85546875"/>
    <col customWidth="1" max="8963" min="8963" style="37" width="15.5703125"/>
    <col customWidth="1" max="8965" min="8964" style="37" width="10.5703125"/>
    <col customWidth="1" max="8966" min="8966" style="37" width="11.85546875"/>
    <col customWidth="1" max="8967" min="8967" style="37" width="11.5703125"/>
    <col customWidth="1" max="8968" min="8968" style="37" width="13.42578125"/>
    <col customWidth="1" max="8969" min="8969" style="37" width="12.5703125"/>
    <col customWidth="1" max="8971" min="8970" style="37" width="10.5703125"/>
    <col customWidth="1" max="9216" min="8972" style="37" width="11.42578125"/>
    <col customWidth="1" max="9217" min="9217" style="37" width="5.42578125"/>
    <col customWidth="1" max="9218" min="9218" style="37" width="4.85546875"/>
    <col customWidth="1" max="9219" min="9219" style="37" width="15.5703125"/>
    <col customWidth="1" max="9221" min="9220" style="37" width="10.5703125"/>
    <col customWidth="1" max="9222" min="9222" style="37" width="11.85546875"/>
    <col customWidth="1" max="9223" min="9223" style="37" width="11.5703125"/>
    <col customWidth="1" max="9224" min="9224" style="37" width="13.42578125"/>
    <col customWidth="1" max="9225" min="9225" style="37" width="12.5703125"/>
    <col customWidth="1" max="9227" min="9226" style="37" width="10.5703125"/>
    <col customWidth="1" max="9472" min="9228" style="37" width="11.42578125"/>
    <col customWidth="1" max="9473" min="9473" style="37" width="5.42578125"/>
    <col customWidth="1" max="9474" min="9474" style="37" width="4.85546875"/>
    <col customWidth="1" max="9475" min="9475" style="37" width="15.5703125"/>
    <col customWidth="1" max="9477" min="9476" style="37" width="10.5703125"/>
    <col customWidth="1" max="9478" min="9478" style="37" width="11.85546875"/>
    <col customWidth="1" max="9479" min="9479" style="37" width="11.5703125"/>
    <col customWidth="1" max="9480" min="9480" style="37" width="13.42578125"/>
    <col customWidth="1" max="9481" min="9481" style="37" width="12.5703125"/>
    <col customWidth="1" max="9483" min="9482" style="37" width="10.5703125"/>
    <col customWidth="1" max="9728" min="9484" style="37" width="11.42578125"/>
    <col customWidth="1" max="9729" min="9729" style="37" width="5.42578125"/>
    <col customWidth="1" max="9730" min="9730" style="37" width="4.85546875"/>
    <col customWidth="1" max="9731" min="9731" style="37" width="15.5703125"/>
    <col customWidth="1" max="9733" min="9732" style="37" width="10.5703125"/>
    <col customWidth="1" max="9734" min="9734" style="37" width="11.85546875"/>
    <col customWidth="1" max="9735" min="9735" style="37" width="11.5703125"/>
    <col customWidth="1" max="9736" min="9736" style="37" width="13.42578125"/>
    <col customWidth="1" max="9737" min="9737" style="37" width="12.5703125"/>
    <col customWidth="1" max="9739" min="9738" style="37" width="10.5703125"/>
    <col customWidth="1" max="9984" min="9740" style="37" width="11.42578125"/>
    <col customWidth="1" max="9985" min="9985" style="37" width="5.42578125"/>
    <col customWidth="1" max="9986" min="9986" style="37" width="4.85546875"/>
    <col customWidth="1" max="9987" min="9987" style="37" width="15.5703125"/>
    <col customWidth="1" max="9989" min="9988" style="37" width="10.5703125"/>
    <col customWidth="1" max="9990" min="9990" style="37" width="11.85546875"/>
    <col customWidth="1" max="9991" min="9991" style="37" width="11.5703125"/>
    <col customWidth="1" max="9992" min="9992" style="37" width="13.42578125"/>
    <col customWidth="1" max="9993" min="9993" style="37" width="12.5703125"/>
    <col customWidth="1" max="9995" min="9994" style="37" width="10.5703125"/>
    <col customWidth="1" max="10240" min="9996" style="37" width="11.42578125"/>
    <col customWidth="1" max="10241" min="10241" style="37" width="5.42578125"/>
    <col customWidth="1" max="10242" min="10242" style="37" width="4.85546875"/>
    <col customWidth="1" max="10243" min="10243" style="37" width="15.5703125"/>
    <col customWidth="1" max="10245" min="10244" style="37" width="10.5703125"/>
    <col customWidth="1" max="10246" min="10246" style="37" width="11.85546875"/>
    <col customWidth="1" max="10247" min="10247" style="37" width="11.5703125"/>
    <col customWidth="1" max="10248" min="10248" style="37" width="13.42578125"/>
    <col customWidth="1" max="10249" min="10249" style="37" width="12.5703125"/>
    <col customWidth="1" max="10251" min="10250" style="37" width="10.5703125"/>
    <col customWidth="1" max="10496" min="10252" style="37" width="11.42578125"/>
    <col customWidth="1" max="10497" min="10497" style="37" width="5.42578125"/>
    <col customWidth="1" max="10498" min="10498" style="37" width="4.85546875"/>
    <col customWidth="1" max="10499" min="10499" style="37" width="15.5703125"/>
    <col customWidth="1" max="10501" min="10500" style="37" width="10.5703125"/>
    <col customWidth="1" max="10502" min="10502" style="37" width="11.85546875"/>
    <col customWidth="1" max="10503" min="10503" style="37" width="11.5703125"/>
    <col customWidth="1" max="10504" min="10504" style="37" width="13.42578125"/>
    <col customWidth="1" max="10505" min="10505" style="37" width="12.5703125"/>
    <col customWidth="1" max="10507" min="10506" style="37" width="10.5703125"/>
    <col customWidth="1" max="10752" min="10508" style="37" width="11.42578125"/>
    <col customWidth="1" max="10753" min="10753" style="37" width="5.42578125"/>
    <col customWidth="1" max="10754" min="10754" style="37" width="4.85546875"/>
    <col customWidth="1" max="10755" min="10755" style="37" width="15.5703125"/>
    <col customWidth="1" max="10757" min="10756" style="37" width="10.5703125"/>
    <col customWidth="1" max="10758" min="10758" style="37" width="11.85546875"/>
    <col customWidth="1" max="10759" min="10759" style="37" width="11.5703125"/>
    <col customWidth="1" max="10760" min="10760" style="37" width="13.42578125"/>
    <col customWidth="1" max="10761" min="10761" style="37" width="12.5703125"/>
    <col customWidth="1" max="10763" min="10762" style="37" width="10.5703125"/>
    <col customWidth="1" max="11008" min="10764" style="37" width="11.42578125"/>
    <col customWidth="1" max="11009" min="11009" style="37" width="5.42578125"/>
    <col customWidth="1" max="11010" min="11010" style="37" width="4.85546875"/>
    <col customWidth="1" max="11011" min="11011" style="37" width="15.5703125"/>
    <col customWidth="1" max="11013" min="11012" style="37" width="10.5703125"/>
    <col customWidth="1" max="11014" min="11014" style="37" width="11.85546875"/>
    <col customWidth="1" max="11015" min="11015" style="37" width="11.5703125"/>
    <col customWidth="1" max="11016" min="11016" style="37" width="13.42578125"/>
    <col customWidth="1" max="11017" min="11017" style="37" width="12.5703125"/>
    <col customWidth="1" max="11019" min="11018" style="37" width="10.5703125"/>
    <col customWidth="1" max="11264" min="11020" style="37" width="11.42578125"/>
    <col customWidth="1" max="11265" min="11265" style="37" width="5.42578125"/>
    <col customWidth="1" max="11266" min="11266" style="37" width="4.85546875"/>
    <col customWidth="1" max="11267" min="11267" style="37" width="15.5703125"/>
    <col customWidth="1" max="11269" min="11268" style="37" width="10.5703125"/>
    <col customWidth="1" max="11270" min="11270" style="37" width="11.85546875"/>
    <col customWidth="1" max="11271" min="11271" style="37" width="11.5703125"/>
    <col customWidth="1" max="11272" min="11272" style="37" width="13.42578125"/>
    <col customWidth="1" max="11273" min="11273" style="37" width="12.5703125"/>
    <col customWidth="1" max="11275" min="11274" style="37" width="10.5703125"/>
    <col customWidth="1" max="11520" min="11276" style="37" width="11.42578125"/>
    <col customWidth="1" max="11521" min="11521" style="37" width="5.42578125"/>
    <col customWidth="1" max="11522" min="11522" style="37" width="4.85546875"/>
    <col customWidth="1" max="11523" min="11523" style="37" width="15.5703125"/>
    <col customWidth="1" max="11525" min="11524" style="37" width="10.5703125"/>
    <col customWidth="1" max="11526" min="11526" style="37" width="11.85546875"/>
    <col customWidth="1" max="11527" min="11527" style="37" width="11.5703125"/>
    <col customWidth="1" max="11528" min="11528" style="37" width="13.42578125"/>
    <col customWidth="1" max="11529" min="11529" style="37" width="12.5703125"/>
    <col customWidth="1" max="11531" min="11530" style="37" width="10.5703125"/>
    <col customWidth="1" max="11776" min="11532" style="37" width="11.42578125"/>
    <col customWidth="1" max="11777" min="11777" style="37" width="5.42578125"/>
    <col customWidth="1" max="11778" min="11778" style="37" width="4.85546875"/>
    <col customWidth="1" max="11779" min="11779" style="37" width="15.5703125"/>
    <col customWidth="1" max="11781" min="11780" style="37" width="10.5703125"/>
    <col customWidth="1" max="11782" min="11782" style="37" width="11.85546875"/>
    <col customWidth="1" max="11783" min="11783" style="37" width="11.5703125"/>
    <col customWidth="1" max="11784" min="11784" style="37" width="13.42578125"/>
    <col customWidth="1" max="11785" min="11785" style="37" width="12.5703125"/>
    <col customWidth="1" max="11787" min="11786" style="37" width="10.5703125"/>
    <col customWidth="1" max="12032" min="11788" style="37" width="11.42578125"/>
    <col customWidth="1" max="12033" min="12033" style="37" width="5.42578125"/>
    <col customWidth="1" max="12034" min="12034" style="37" width="4.85546875"/>
    <col customWidth="1" max="12035" min="12035" style="37" width="15.5703125"/>
    <col customWidth="1" max="12037" min="12036" style="37" width="10.5703125"/>
    <col customWidth="1" max="12038" min="12038" style="37" width="11.85546875"/>
    <col customWidth="1" max="12039" min="12039" style="37" width="11.5703125"/>
    <col customWidth="1" max="12040" min="12040" style="37" width="13.42578125"/>
    <col customWidth="1" max="12041" min="12041" style="37" width="12.5703125"/>
    <col customWidth="1" max="12043" min="12042" style="37" width="10.5703125"/>
    <col customWidth="1" max="12288" min="12044" style="37" width="11.42578125"/>
    <col customWidth="1" max="12289" min="12289" style="37" width="5.42578125"/>
    <col customWidth="1" max="12290" min="12290" style="37" width="4.85546875"/>
    <col customWidth="1" max="12291" min="12291" style="37" width="15.5703125"/>
    <col customWidth="1" max="12293" min="12292" style="37" width="10.5703125"/>
    <col customWidth="1" max="12294" min="12294" style="37" width="11.85546875"/>
    <col customWidth="1" max="12295" min="12295" style="37" width="11.5703125"/>
    <col customWidth="1" max="12296" min="12296" style="37" width="13.42578125"/>
    <col customWidth="1" max="12297" min="12297" style="37" width="12.5703125"/>
    <col customWidth="1" max="12299" min="12298" style="37" width="10.5703125"/>
    <col customWidth="1" max="12544" min="12300" style="37" width="11.42578125"/>
    <col customWidth="1" max="12545" min="12545" style="37" width="5.42578125"/>
    <col customWidth="1" max="12546" min="12546" style="37" width="4.85546875"/>
    <col customWidth="1" max="12547" min="12547" style="37" width="15.5703125"/>
    <col customWidth="1" max="12549" min="12548" style="37" width="10.5703125"/>
    <col customWidth="1" max="12550" min="12550" style="37" width="11.85546875"/>
    <col customWidth="1" max="12551" min="12551" style="37" width="11.5703125"/>
    <col customWidth="1" max="12552" min="12552" style="37" width="13.42578125"/>
    <col customWidth="1" max="12553" min="12553" style="37" width="12.5703125"/>
    <col customWidth="1" max="12555" min="12554" style="37" width="10.5703125"/>
    <col customWidth="1" max="12800" min="12556" style="37" width="11.42578125"/>
    <col customWidth="1" max="12801" min="12801" style="37" width="5.42578125"/>
    <col customWidth="1" max="12802" min="12802" style="37" width="4.85546875"/>
    <col customWidth="1" max="12803" min="12803" style="37" width="15.5703125"/>
    <col customWidth="1" max="12805" min="12804" style="37" width="10.5703125"/>
    <col customWidth="1" max="12806" min="12806" style="37" width="11.85546875"/>
    <col customWidth="1" max="12807" min="12807" style="37" width="11.5703125"/>
    <col customWidth="1" max="12808" min="12808" style="37" width="13.42578125"/>
    <col customWidth="1" max="12809" min="12809" style="37" width="12.5703125"/>
    <col customWidth="1" max="12811" min="12810" style="37" width="10.5703125"/>
    <col customWidth="1" max="13056" min="12812" style="37" width="11.42578125"/>
    <col customWidth="1" max="13057" min="13057" style="37" width="5.42578125"/>
    <col customWidth="1" max="13058" min="13058" style="37" width="4.85546875"/>
    <col customWidth="1" max="13059" min="13059" style="37" width="15.5703125"/>
    <col customWidth="1" max="13061" min="13060" style="37" width="10.5703125"/>
    <col customWidth="1" max="13062" min="13062" style="37" width="11.85546875"/>
    <col customWidth="1" max="13063" min="13063" style="37" width="11.5703125"/>
    <col customWidth="1" max="13064" min="13064" style="37" width="13.42578125"/>
    <col customWidth="1" max="13065" min="13065" style="37" width="12.5703125"/>
    <col customWidth="1" max="13067" min="13066" style="37" width="10.5703125"/>
    <col customWidth="1" max="13312" min="13068" style="37" width="11.42578125"/>
    <col customWidth="1" max="13313" min="13313" style="37" width="5.42578125"/>
    <col customWidth="1" max="13314" min="13314" style="37" width="4.85546875"/>
    <col customWidth="1" max="13315" min="13315" style="37" width="15.5703125"/>
    <col customWidth="1" max="13317" min="13316" style="37" width="10.5703125"/>
    <col customWidth="1" max="13318" min="13318" style="37" width="11.85546875"/>
    <col customWidth="1" max="13319" min="13319" style="37" width="11.5703125"/>
    <col customWidth="1" max="13320" min="13320" style="37" width="13.42578125"/>
    <col customWidth="1" max="13321" min="13321" style="37" width="12.5703125"/>
    <col customWidth="1" max="13323" min="13322" style="37" width="10.5703125"/>
    <col customWidth="1" max="13568" min="13324" style="37" width="11.42578125"/>
    <col customWidth="1" max="13569" min="13569" style="37" width="5.42578125"/>
    <col customWidth="1" max="13570" min="13570" style="37" width="4.85546875"/>
    <col customWidth="1" max="13571" min="13571" style="37" width="15.5703125"/>
    <col customWidth="1" max="13573" min="13572" style="37" width="10.5703125"/>
    <col customWidth="1" max="13574" min="13574" style="37" width="11.85546875"/>
    <col customWidth="1" max="13575" min="13575" style="37" width="11.5703125"/>
    <col customWidth="1" max="13576" min="13576" style="37" width="13.42578125"/>
    <col customWidth="1" max="13577" min="13577" style="37" width="12.5703125"/>
    <col customWidth="1" max="13579" min="13578" style="37" width="10.5703125"/>
    <col customWidth="1" max="13824" min="13580" style="37" width="11.42578125"/>
    <col customWidth="1" max="13825" min="13825" style="37" width="5.42578125"/>
    <col customWidth="1" max="13826" min="13826" style="37" width="4.85546875"/>
    <col customWidth="1" max="13827" min="13827" style="37" width="15.5703125"/>
    <col customWidth="1" max="13829" min="13828" style="37" width="10.5703125"/>
    <col customWidth="1" max="13830" min="13830" style="37" width="11.85546875"/>
    <col customWidth="1" max="13831" min="13831" style="37" width="11.5703125"/>
    <col customWidth="1" max="13832" min="13832" style="37" width="13.42578125"/>
    <col customWidth="1" max="13833" min="13833" style="37" width="12.5703125"/>
    <col customWidth="1" max="13835" min="13834" style="37" width="10.5703125"/>
    <col customWidth="1" max="14080" min="13836" style="37" width="11.42578125"/>
    <col customWidth="1" max="14081" min="14081" style="37" width="5.42578125"/>
    <col customWidth="1" max="14082" min="14082" style="37" width="4.85546875"/>
    <col customWidth="1" max="14083" min="14083" style="37" width="15.5703125"/>
    <col customWidth="1" max="14085" min="14084" style="37" width="10.5703125"/>
    <col customWidth="1" max="14086" min="14086" style="37" width="11.85546875"/>
    <col customWidth="1" max="14087" min="14087" style="37" width="11.5703125"/>
    <col customWidth="1" max="14088" min="14088" style="37" width="13.42578125"/>
    <col customWidth="1" max="14089" min="14089" style="37" width="12.5703125"/>
    <col customWidth="1" max="14091" min="14090" style="37" width="10.5703125"/>
    <col customWidth="1" max="14336" min="14092" style="37" width="11.42578125"/>
    <col customWidth="1" max="14337" min="14337" style="37" width="5.42578125"/>
    <col customWidth="1" max="14338" min="14338" style="37" width="4.85546875"/>
    <col customWidth="1" max="14339" min="14339" style="37" width="15.5703125"/>
    <col customWidth="1" max="14341" min="14340" style="37" width="10.5703125"/>
    <col customWidth="1" max="14342" min="14342" style="37" width="11.85546875"/>
    <col customWidth="1" max="14343" min="14343" style="37" width="11.5703125"/>
    <col customWidth="1" max="14344" min="14344" style="37" width="13.42578125"/>
    <col customWidth="1" max="14345" min="14345" style="37" width="12.5703125"/>
    <col customWidth="1" max="14347" min="14346" style="37" width="10.5703125"/>
    <col customWidth="1" max="14592" min="14348" style="37" width="11.42578125"/>
    <col customWidth="1" max="14593" min="14593" style="37" width="5.42578125"/>
    <col customWidth="1" max="14594" min="14594" style="37" width="4.85546875"/>
    <col customWidth="1" max="14595" min="14595" style="37" width="15.5703125"/>
    <col customWidth="1" max="14597" min="14596" style="37" width="10.5703125"/>
    <col customWidth="1" max="14598" min="14598" style="37" width="11.85546875"/>
    <col customWidth="1" max="14599" min="14599" style="37" width="11.5703125"/>
    <col customWidth="1" max="14600" min="14600" style="37" width="13.42578125"/>
    <col customWidth="1" max="14601" min="14601" style="37" width="12.5703125"/>
    <col customWidth="1" max="14603" min="14602" style="37" width="10.5703125"/>
    <col customWidth="1" max="14848" min="14604" style="37" width="11.42578125"/>
    <col customWidth="1" max="14849" min="14849" style="37" width="5.42578125"/>
    <col customWidth="1" max="14850" min="14850" style="37" width="4.85546875"/>
    <col customWidth="1" max="14851" min="14851" style="37" width="15.5703125"/>
    <col customWidth="1" max="14853" min="14852" style="37" width="10.5703125"/>
    <col customWidth="1" max="14854" min="14854" style="37" width="11.85546875"/>
    <col customWidth="1" max="14855" min="14855" style="37" width="11.5703125"/>
    <col customWidth="1" max="14856" min="14856" style="37" width="13.42578125"/>
    <col customWidth="1" max="14857" min="14857" style="37" width="12.5703125"/>
    <col customWidth="1" max="14859" min="14858" style="37" width="10.5703125"/>
    <col customWidth="1" max="15104" min="14860" style="37" width="11.42578125"/>
    <col customWidth="1" max="15105" min="15105" style="37" width="5.42578125"/>
    <col customWidth="1" max="15106" min="15106" style="37" width="4.85546875"/>
    <col customWidth="1" max="15107" min="15107" style="37" width="15.5703125"/>
    <col customWidth="1" max="15109" min="15108" style="37" width="10.5703125"/>
    <col customWidth="1" max="15110" min="15110" style="37" width="11.85546875"/>
    <col customWidth="1" max="15111" min="15111" style="37" width="11.5703125"/>
    <col customWidth="1" max="15112" min="15112" style="37" width="13.42578125"/>
    <col customWidth="1" max="15113" min="15113" style="37" width="12.5703125"/>
    <col customWidth="1" max="15115" min="15114" style="37" width="10.5703125"/>
    <col customWidth="1" max="15360" min="15116" style="37" width="11.42578125"/>
    <col customWidth="1" max="15361" min="15361" style="37" width="5.42578125"/>
    <col customWidth="1" max="15362" min="15362" style="37" width="4.85546875"/>
    <col customWidth="1" max="15363" min="15363" style="37" width="15.5703125"/>
    <col customWidth="1" max="15365" min="15364" style="37" width="10.5703125"/>
    <col customWidth="1" max="15366" min="15366" style="37" width="11.85546875"/>
    <col customWidth="1" max="15367" min="15367" style="37" width="11.5703125"/>
    <col customWidth="1" max="15368" min="15368" style="37" width="13.42578125"/>
    <col customWidth="1" max="15369" min="15369" style="37" width="12.5703125"/>
    <col customWidth="1" max="15371" min="15370" style="37" width="10.5703125"/>
    <col customWidth="1" max="15616" min="15372" style="37" width="11.42578125"/>
    <col customWidth="1" max="15617" min="15617" style="37" width="5.42578125"/>
    <col customWidth="1" max="15618" min="15618" style="37" width="4.85546875"/>
    <col customWidth="1" max="15619" min="15619" style="37" width="15.5703125"/>
    <col customWidth="1" max="15621" min="15620" style="37" width="10.5703125"/>
    <col customWidth="1" max="15622" min="15622" style="37" width="11.85546875"/>
    <col customWidth="1" max="15623" min="15623" style="37" width="11.5703125"/>
    <col customWidth="1" max="15624" min="15624" style="37" width="13.42578125"/>
    <col customWidth="1" max="15625" min="15625" style="37" width="12.5703125"/>
    <col customWidth="1" max="15627" min="15626" style="37" width="10.5703125"/>
    <col customWidth="1" max="15872" min="15628" style="37" width="11.42578125"/>
    <col customWidth="1" max="15873" min="15873" style="37" width="5.42578125"/>
    <col customWidth="1" max="15874" min="15874" style="37" width="4.85546875"/>
    <col customWidth="1" max="15875" min="15875" style="37" width="15.5703125"/>
    <col customWidth="1" max="15877" min="15876" style="37" width="10.5703125"/>
    <col customWidth="1" max="15878" min="15878" style="37" width="11.85546875"/>
    <col customWidth="1" max="15879" min="15879" style="37" width="11.5703125"/>
    <col customWidth="1" max="15880" min="15880" style="37" width="13.42578125"/>
    <col customWidth="1" max="15881" min="15881" style="37" width="12.5703125"/>
    <col customWidth="1" max="15883" min="15882" style="37" width="10.5703125"/>
    <col customWidth="1" max="16128" min="15884" style="37" width="11.42578125"/>
    <col customWidth="1" max="16129" min="16129" style="37" width="5.42578125"/>
    <col customWidth="1" max="16130" min="16130" style="37" width="4.85546875"/>
    <col customWidth="1" max="16131" min="16131" style="37" width="15.5703125"/>
    <col customWidth="1" max="16133" min="16132" style="37" width="10.5703125"/>
    <col customWidth="1" max="16134" min="16134" style="37" width="11.85546875"/>
    <col customWidth="1" max="16135" min="16135" style="37" width="11.5703125"/>
    <col customWidth="1" max="16136" min="16136" style="37" width="13.42578125"/>
    <col customWidth="1" max="16137" min="16137" style="37" width="12.5703125"/>
    <col customWidth="1" max="16139" min="16138" style="37" width="10.5703125"/>
    <col customWidth="1" max="16384" min="16140" style="37" width="11.42578125"/>
  </cols>
  <sheetData>
    <row customHeight="1" ht="15.75" r="1">
      <c r="A1" s="497" t="inlineStr">
        <is>
          <t>EVALUACIÓN DE SOLICITUD DE NUEVO SUMINISTRO</t>
        </is>
      </c>
    </row>
    <row customHeight="1" ht="15.75" r="2">
      <c r="A2" s="497">
        <f>UPPER(Informe!C6)</f>
        <v/>
      </c>
    </row>
    <row customHeight="1" hidden="1" ht="15.75" r="3"/>
    <row customHeight="1" hidden="1" ht="21" r="4"/>
    <row customHeight="1" hidden="1" ht="12" r="5"/>
    <row customHeight="1" ht="15.75" r="6">
      <c r="A6" s="38" t="inlineStr">
        <is>
          <t>A)</t>
        </is>
      </c>
      <c r="B6" s="39" t="inlineStr">
        <is>
          <t>MAXIMA DEMANDA ACTUAL Y PROYECTADA:</t>
        </is>
      </c>
      <c r="C6" s="40" t="n"/>
      <c r="D6" s="40" t="n"/>
      <c r="E6" s="40" t="n"/>
      <c r="F6" s="40" t="n"/>
    </row>
    <row customHeight="1" ht="18.75" r="7"/>
    <row r="8">
      <c r="A8" s="41" t="n"/>
      <c r="B8" s="42">
        <f>UPPER(Informe!C4)</f>
        <v/>
      </c>
    </row>
    <row customHeight="1" ht="3.95" r="9"/>
    <row customHeight="1" ht="22.5" r="10">
      <c r="C10" s="37">
        <f>CONCATENATE("Máxima Demanda Actual ",Informe!C8, " :")</f>
        <v/>
      </c>
      <c r="G10" s="72">
        <f>+CALCULOS_LINEA_OK!T6</f>
        <v/>
      </c>
      <c r="H10" s="37" t="inlineStr">
        <is>
          <t>kW</t>
        </is>
      </c>
      <c r="I10" s="44" t="n"/>
    </row>
    <row customHeight="1" ht="22.5" r="11">
      <c r="C11" s="37">
        <f>CONCATENATE("Máxima Demanda Proyectada ",Informe!C8, " :")</f>
        <v/>
      </c>
      <c r="G11" s="72">
        <f>+CALCULOS_LINEA_OK!T12</f>
        <v/>
      </c>
      <c r="H11" s="37" t="inlineStr">
        <is>
          <t>kW</t>
        </is>
      </c>
      <c r="I11" s="498" t="n"/>
    </row>
    <row customHeight="1" ht="22.5" r="12">
      <c r="C12" s="45" t="inlineStr">
        <is>
          <t>Potencia Adicional Proyectada:</t>
        </is>
      </c>
      <c r="G12" s="378">
        <f>G11-G10</f>
        <v/>
      </c>
      <c r="H12" s="45" t="inlineStr">
        <is>
          <t>kW</t>
        </is>
      </c>
    </row>
    <row customHeight="1" ht="6.75" r="14">
      <c r="B14" s="45" t="n"/>
      <c r="C14" s="45" t="n"/>
      <c r="G14" s="45" t="n"/>
      <c r="H14" s="45" t="n"/>
    </row>
    <row customFormat="1" customHeight="1" ht="24" r="15" s="48">
      <c r="A15" s="46" t="inlineStr">
        <is>
          <t>B)</t>
        </is>
      </c>
      <c r="B15" s="47" t="inlineStr">
        <is>
          <t>CAPACIDAD DISPONIBLE ACTUAL (Escenario en Mes de Alto Consumo)</t>
        </is>
      </c>
      <c r="K15" s="401" t="inlineStr">
        <is>
          <t>Tensión nominal (kV)</t>
        </is>
      </c>
      <c r="L15" s="402" t="n">
        <v>10</v>
      </c>
    </row>
    <row customFormat="1" customHeight="1" ht="9" r="16" s="48">
      <c r="A16" s="46" t="n"/>
      <c r="B16" s="47" t="n"/>
    </row>
    <row customFormat="1" customHeight="1" ht="36" r="17" s="148">
      <c r="B17" s="403" t="inlineStr">
        <is>
          <t>ITEM</t>
        </is>
      </c>
      <c r="C17" s="403" t="inlineStr">
        <is>
          <t>ESCENARIO</t>
        </is>
      </c>
      <c r="D17" s="403" t="inlineStr">
        <is>
          <t>MAXIMA DEMANDA
(kW)</t>
        </is>
      </c>
      <c r="E17" s="403" t="inlineStr">
        <is>
          <t>COSØ (%)</t>
        </is>
      </c>
      <c r="F17" s="403" t="inlineStr">
        <is>
          <t>MAXIMA DEMANDA
(kVA)</t>
        </is>
      </c>
      <c r="G17" s="403" t="inlineStr">
        <is>
          <t>CAPACIDAD
(kVA) *</t>
        </is>
      </c>
      <c r="H17" s="403" t="inlineStr">
        <is>
          <t>FACTOR DE
UTILIZACION</t>
        </is>
      </c>
      <c r="I17" s="403" t="inlineStr">
        <is>
          <t>CAPACIDAD
DISPONIBLE
(kVA)</t>
        </is>
      </c>
      <c r="K17" s="401" t="inlineStr">
        <is>
          <t>EQUIPO</t>
        </is>
      </c>
      <c r="L17" s="401" t="inlineStr">
        <is>
          <t>CAPACIDAD (AMP.)</t>
        </is>
      </c>
    </row>
    <row customFormat="1" customHeight="1" ht="28.5" r="18" s="48">
      <c r="B18" s="404">
        <f>1</f>
        <v/>
      </c>
      <c r="C18" s="405">
        <f>CONCATENATE("CABLE DE SALIDA ",Informe!C8)</f>
        <v/>
      </c>
      <c r="D18" s="406">
        <f>G10</f>
        <v/>
      </c>
      <c r="E18" s="407">
        <f>+'Resultados de escenarios'!R14</f>
        <v/>
      </c>
      <c r="F18" s="406">
        <f>+D18/E18*100</f>
        <v/>
      </c>
      <c r="G18" s="406">
        <f>$L$18*SQRT(3)*L15</f>
        <v/>
      </c>
      <c r="H18" s="613">
        <f>+F18/G18</f>
        <v/>
      </c>
      <c r="I18" s="409">
        <f>+G18-F18</f>
        <v/>
      </c>
      <c r="K18" s="410" t="inlineStr">
        <is>
          <t>CABLE SUBT. 
N2XSY - 120mm2</t>
        </is>
      </c>
      <c r="L18" s="502">
        <f>1*331</f>
        <v/>
      </c>
    </row>
    <row customFormat="1" customHeight="1" ht="24" r="19" s="48">
      <c r="B19" s="404" t="n">
        <v>2</v>
      </c>
      <c r="C19" s="405">
        <f>CONCATENATE("TRONCAL AÉREA ",Informe!C8)</f>
        <v/>
      </c>
      <c r="D19" s="406">
        <f>D18</f>
        <v/>
      </c>
      <c r="E19" s="407">
        <f>+E21</f>
        <v/>
      </c>
      <c r="F19" s="406">
        <f>+D19/E19*100</f>
        <v/>
      </c>
      <c r="G19" s="406">
        <f>CALCULOS_LINEA_OK!Q6*SQRT(3)*L15</f>
        <v/>
      </c>
      <c r="H19" s="613">
        <f>+F19/G19</f>
        <v/>
      </c>
      <c r="I19" s="409">
        <f>+G19-F19</f>
        <v/>
      </c>
      <c r="K19" s="502" t="inlineStr">
        <is>
          <t>TC</t>
        </is>
      </c>
      <c r="L19" s="502">
        <f>400*1</f>
        <v/>
      </c>
    </row>
    <row customFormat="1" customHeight="1" ht="36" r="20" s="48">
      <c r="B20" s="403" t="inlineStr">
        <is>
          <t>ITEM</t>
        </is>
      </c>
      <c r="C20" s="403" t="inlineStr">
        <is>
          <t>ESCENARIO</t>
        </is>
      </c>
      <c r="D20" s="403" t="inlineStr">
        <is>
          <t>MAXIMA DEMANDA
(AMP)</t>
        </is>
      </c>
      <c r="E20" s="403" t="inlineStr">
        <is>
          <t>COSØ (%)</t>
        </is>
      </c>
      <c r="F20" s="403" t="inlineStr">
        <is>
          <t>MAXIMA DEMANDA
(kVA)</t>
        </is>
      </c>
      <c r="G20" s="403" t="inlineStr">
        <is>
          <t>CAPACIDAD
(AMP) *</t>
        </is>
      </c>
      <c r="H20" s="403" t="inlineStr">
        <is>
          <t>FACTOR DE
UTILIZACION</t>
        </is>
      </c>
      <c r="I20" s="403" t="inlineStr">
        <is>
          <t>CAPACIDAD
DISPONIBLE
(AMP)</t>
        </is>
      </c>
      <c r="K20" s="412" t="n"/>
      <c r="L20" s="413" t="n"/>
    </row>
    <row customFormat="1" r="21" s="48">
      <c r="B21" s="404" t="n">
        <v>1</v>
      </c>
      <c r="C21" s="405">
        <f>CONCATENATE("TRAFO CTE ",Informe!C8)</f>
        <v/>
      </c>
      <c r="D21" s="406">
        <f>CALCULOS_LINEA_OK!R6</f>
        <v/>
      </c>
      <c r="E21" s="407">
        <f>+E18</f>
        <v/>
      </c>
      <c r="F21" s="406">
        <f>F18</f>
        <v/>
      </c>
      <c r="G21" s="406">
        <f>L19</f>
        <v/>
      </c>
      <c r="H21" s="613">
        <f>+D21/G21</f>
        <v/>
      </c>
      <c r="I21" s="409">
        <f>+G21-D21</f>
        <v/>
      </c>
      <c r="L21" s="133" t="n"/>
    </row>
    <row customFormat="1" customHeight="1" ht="5.25" r="22" s="48">
      <c r="L22" s="133" t="n"/>
    </row>
    <row customFormat="1" customHeight="1" hidden="1" ht="15" r="23" s="48">
      <c r="A23" s="46" t="inlineStr">
        <is>
          <t>C)</t>
        </is>
      </c>
      <c r="B23" s="47" t="inlineStr">
        <is>
          <t>CAPACIDAD DISPONIBLE PROYECTADA CON CARGA ADICIONAL DE PRISCO (900kW)</t>
        </is>
      </c>
    </row>
    <row customFormat="1" customHeight="1" hidden="1" ht="13.5" r="24" s="48">
      <c r="A24" s="46" t="n"/>
      <c r="B24" s="50" t="n"/>
    </row>
    <row customFormat="1" customHeight="1" hidden="1" ht="38.25" r="25" s="48">
      <c r="B25" s="414" t="inlineStr">
        <is>
          <t>ITEM</t>
        </is>
      </c>
      <c r="C25" s="414" t="inlineStr">
        <is>
          <t>ESCENARIO</t>
        </is>
      </c>
      <c r="D25" s="415" t="inlineStr">
        <is>
          <t>MAXIMA DEMANDA
(kW)</t>
        </is>
      </c>
      <c r="E25" s="415" t="inlineStr">
        <is>
          <t>COSØ</t>
        </is>
      </c>
      <c r="F25" s="415" t="inlineStr">
        <is>
          <t>MAXIMA DEMANDA
(kVA)</t>
        </is>
      </c>
      <c r="G25" s="414" t="inlineStr">
        <is>
          <t>CAPACIDAD
(kVA) *</t>
        </is>
      </c>
      <c r="H25" s="414" t="inlineStr">
        <is>
          <t>FACTOR DE
UTILIZACION</t>
        </is>
      </c>
      <c r="I25" s="414" t="inlineStr">
        <is>
          <t>CAPACIDAD
DISPONIBLE
(kVA)</t>
        </is>
      </c>
    </row>
    <row customFormat="1" customHeight="1" hidden="1" ht="24.95" r="26" s="48">
      <c r="B26" s="404" t="n">
        <v>1</v>
      </c>
      <c r="C26" s="405" t="inlineStr">
        <is>
          <t>TRAFO 01 (60kV)
SET PARACAS</t>
        </is>
      </c>
      <c r="D26" s="406">
        <f>+#REF!+#REF!</f>
        <v/>
      </c>
      <c r="E26" s="416" t="n">
        <v>0.97</v>
      </c>
      <c r="F26" s="406">
        <f>+D26/E26</f>
        <v/>
      </c>
      <c r="G26" s="406" t="n">
        <v>13000</v>
      </c>
      <c r="H26" s="613">
        <f>+F26/G26</f>
        <v/>
      </c>
      <c r="I26" s="409">
        <f>+G26-F26</f>
        <v/>
      </c>
    </row>
    <row customFormat="1" customHeight="1" hidden="1" ht="24.95" r="27" s="48">
      <c r="B27" s="404">
        <f>1+B26</f>
        <v/>
      </c>
      <c r="C27" s="405" t="inlineStr">
        <is>
          <t>TRAFO 01 (10kV)
SET PARACAS</t>
        </is>
      </c>
      <c r="D27" s="406">
        <f>+#REF!+#REF!</f>
        <v/>
      </c>
      <c r="E27" s="416" t="n">
        <v>0.97</v>
      </c>
      <c r="F27" s="406">
        <f>+D27/E27</f>
        <v/>
      </c>
      <c r="G27" s="406" t="n">
        <v>9000</v>
      </c>
      <c r="H27" s="613">
        <f>+F27/G27</f>
        <v/>
      </c>
      <c r="I27" s="409">
        <f>+G27-F27</f>
        <v/>
      </c>
    </row>
    <row customFormat="1" customHeight="1" hidden="1" ht="24.95" r="28" s="48">
      <c r="B28" s="404">
        <f>1+B27</f>
        <v/>
      </c>
      <c r="C28" s="405" t="inlineStr">
        <is>
          <t>TRAFO CTE. B10KV</t>
        </is>
      </c>
      <c r="D28" s="406">
        <f>+#REF!+#REF!</f>
        <v/>
      </c>
      <c r="E28" s="416" t="n">
        <v>0.97</v>
      </c>
      <c r="F28" s="406">
        <f>+D28/E28</f>
        <v/>
      </c>
      <c r="G28" s="406">
        <f>500*1.732*10</f>
        <v/>
      </c>
      <c r="H28" s="613">
        <f>+F28/G28</f>
        <v/>
      </c>
      <c r="I28" s="409">
        <f>+G28-F28</f>
        <v/>
      </c>
    </row>
    <row customFormat="1" customHeight="1" hidden="1" ht="24.95" r="29" s="48">
      <c r="B29" s="404">
        <f>1+B28</f>
        <v/>
      </c>
      <c r="C29" s="405" t="inlineStr">
        <is>
          <t>CABLE SALIDA PA08</t>
        </is>
      </c>
      <c r="D29" s="406">
        <f>+D18+#REF!</f>
        <v/>
      </c>
      <c r="E29" s="416" t="n">
        <v>0.97</v>
      </c>
      <c r="F29" s="406">
        <f>+D29/E29</f>
        <v/>
      </c>
      <c r="G29" s="406">
        <f>370*1.732*10</f>
        <v/>
      </c>
      <c r="H29" s="613">
        <f>+F29/G29</f>
        <v/>
      </c>
      <c r="I29" s="409">
        <f>+G29-F29</f>
        <v/>
      </c>
    </row>
    <row customFormat="1" customHeight="1" hidden="1" ht="24.95" r="30" s="48">
      <c r="B30" s="404">
        <f>1+B29</f>
        <v/>
      </c>
      <c r="C30" s="405" t="inlineStr">
        <is>
          <t>TRAFO CTE. PA08</t>
        </is>
      </c>
      <c r="D30" s="406">
        <f>+D21+#REF!</f>
        <v/>
      </c>
      <c r="E30" s="416">
        <f>+E29</f>
        <v/>
      </c>
      <c r="F30" s="406">
        <f>+D30/E30</f>
        <v/>
      </c>
      <c r="G30" s="406">
        <f>300*1.732*10</f>
        <v/>
      </c>
      <c r="H30" s="613">
        <f>+F30/G30</f>
        <v/>
      </c>
      <c r="I30" s="409">
        <f>+G30-F30</f>
        <v/>
      </c>
    </row>
    <row customFormat="1" customHeight="1" hidden="1" ht="24.95" r="31" s="48">
      <c r="B31" s="404">
        <f>1+B30</f>
        <v/>
      </c>
      <c r="C31" s="405" t="inlineStr">
        <is>
          <t>TRONCAL AÉREA PA08</t>
        </is>
      </c>
      <c r="D31" s="406">
        <f>+D19+#REF!</f>
        <v/>
      </c>
      <c r="E31" s="416">
        <f>+E30</f>
        <v/>
      </c>
      <c r="F31" s="406">
        <f>+D31/E31</f>
        <v/>
      </c>
      <c r="G31" s="406">
        <f>348*1.732*10</f>
        <v/>
      </c>
      <c r="H31" s="613">
        <f>+F31/G31</f>
        <v/>
      </c>
      <c r="I31" s="409">
        <f>+G31-F31</f>
        <v/>
      </c>
    </row>
    <row customFormat="1" hidden="1" r="32" s="48">
      <c r="B32" s="49" t="inlineStr">
        <is>
          <t>(*) Capacidad ONAF en el caso de Transformador de Potencia.</t>
        </is>
      </c>
    </row>
    <row customFormat="1" r="33" s="48"/>
    <row customFormat="1" customHeight="1" ht="15" r="34" s="48">
      <c r="A34" s="46" t="inlineStr">
        <is>
          <t>C)</t>
        </is>
      </c>
      <c r="B34" s="47" t="inlineStr">
        <is>
          <t>CAPACIDAD DISPONIBLE INCLUYENDO LAS CARGAS SOLICITADO Y OTRAS CARGAS</t>
        </is>
      </c>
    </row>
    <row customFormat="1" customHeight="1" ht="15" r="35" s="48">
      <c r="A35" s="46" t="n"/>
      <c r="B35" s="50" t="n"/>
    </row>
    <row customFormat="1" customHeight="1" ht="36" r="36" s="48">
      <c r="B36" s="403" t="inlineStr">
        <is>
          <t>ITEM</t>
        </is>
      </c>
      <c r="C36" s="403" t="inlineStr">
        <is>
          <t>ESCENARIO</t>
        </is>
      </c>
      <c r="D36" s="403" t="inlineStr">
        <is>
          <t>MAXIMA DEMANDA
(kW)</t>
        </is>
      </c>
      <c r="E36" s="403" t="inlineStr">
        <is>
          <t>COSØ (%)</t>
        </is>
      </c>
      <c r="F36" s="403" t="inlineStr">
        <is>
          <t>MAXIMA DEMANDA
(kVA)</t>
        </is>
      </c>
      <c r="G36" s="403" t="inlineStr">
        <is>
          <t>CAPACIDAD
(kVA) *</t>
        </is>
      </c>
      <c r="H36" s="403" t="inlineStr">
        <is>
          <t>FACTOR DE
UTILIZACION</t>
        </is>
      </c>
      <c r="I36" s="403" t="inlineStr">
        <is>
          <t>CAPACIDAD
DISPONIBLE
(kVA)</t>
        </is>
      </c>
    </row>
    <row customFormat="1" customHeight="1" ht="22.5" r="37" s="48">
      <c r="B37" s="404">
        <f>1</f>
        <v/>
      </c>
      <c r="C37" s="405">
        <f>CONCATENATE("CABLE DE SALIDA ",Informe!C8)</f>
        <v/>
      </c>
      <c r="D37" s="419">
        <f>G11</f>
        <v/>
      </c>
      <c r="E37" s="407">
        <f>+'Resultados de escenarios'!R48</f>
        <v/>
      </c>
      <c r="F37" s="406">
        <f>+D37/E37*100</f>
        <v/>
      </c>
      <c r="G37" s="406">
        <f>L18*SQRT(3)*L15</f>
        <v/>
      </c>
      <c r="H37" s="613">
        <f>+F37/G37</f>
        <v/>
      </c>
      <c r="I37" s="409">
        <f>+G37-F37</f>
        <v/>
      </c>
    </row>
    <row customFormat="1" customHeight="1" ht="21" r="38" s="48">
      <c r="B38" s="404" t="n">
        <v>2</v>
      </c>
      <c r="C38" s="405">
        <f>CONCATENATE("TRONCAL AÉREA ",Informe!C8)</f>
        <v/>
      </c>
      <c r="D38" s="419">
        <f>D37</f>
        <v/>
      </c>
      <c r="E38" s="407">
        <f>+E37</f>
        <v/>
      </c>
      <c r="F38" s="406">
        <f>+D38/E38*100</f>
        <v/>
      </c>
      <c r="G38" s="406">
        <f>CALCULOS_LINEA_OK!Q12*SQRT(3)*L15</f>
        <v/>
      </c>
      <c r="H38" s="613">
        <f>+F38/G38</f>
        <v/>
      </c>
      <c r="I38" s="409">
        <f>+G38-F38</f>
        <v/>
      </c>
    </row>
    <row customFormat="1" customHeight="1" ht="36" r="39" s="48">
      <c r="B39" s="403" t="inlineStr">
        <is>
          <t>ITEM</t>
        </is>
      </c>
      <c r="C39" s="403" t="inlineStr">
        <is>
          <t>ESCENARIO</t>
        </is>
      </c>
      <c r="D39" s="403" t="inlineStr">
        <is>
          <t>MAXIMA DEMANDA
(AMP)</t>
        </is>
      </c>
      <c r="E39" s="403" t="inlineStr">
        <is>
          <t>COSØ (%)</t>
        </is>
      </c>
      <c r="F39" s="403" t="inlineStr">
        <is>
          <t>MAXIMA DEMANDA
(kVA)</t>
        </is>
      </c>
      <c r="G39" s="403" t="inlineStr">
        <is>
          <t>CAPACIDAD
(AMP) *</t>
        </is>
      </c>
      <c r="H39" s="403" t="inlineStr">
        <is>
          <t>FACTOR DE
UTILIZACION</t>
        </is>
      </c>
      <c r="I39" s="403" t="inlineStr">
        <is>
          <t>CAPACIDAD
DISPONIBLE
(AMP)</t>
        </is>
      </c>
    </row>
    <row customFormat="1" r="40" s="48">
      <c r="B40" s="404" t="n">
        <v>1</v>
      </c>
      <c r="C40" s="405">
        <f>CONCATENATE("TRAFO CTE ",Informe!C8)</f>
        <v/>
      </c>
      <c r="D40" s="419">
        <f>CALCULOS_LINEA_OK!R12</f>
        <v/>
      </c>
      <c r="E40" s="407">
        <f>+E37</f>
        <v/>
      </c>
      <c r="F40" s="406">
        <f>F37</f>
        <v/>
      </c>
      <c r="G40" s="406">
        <f>L19</f>
        <v/>
      </c>
      <c r="H40" s="613">
        <f>+D40/G40</f>
        <v/>
      </c>
      <c r="I40" s="409">
        <f>+G40-D40</f>
        <v/>
      </c>
    </row>
    <row customFormat="1" r="41" s="48">
      <c r="B41" s="49" t="n"/>
    </row>
    <row customFormat="1" r="42" s="48">
      <c r="B42" s="49" t="n"/>
    </row>
    <row customFormat="1" r="43" s="48">
      <c r="B43" s="49" t="n"/>
      <c r="D43" s="502" t="n"/>
      <c r="E43" s="614" t="n"/>
      <c r="F43" s="615" t="n"/>
      <c r="G43" s="502" t="n"/>
      <c r="H43" s="614" t="n"/>
      <c r="I43" s="615" t="n"/>
    </row>
    <row customFormat="1" r="44" s="48">
      <c r="B44" s="49" t="n"/>
      <c r="D44" s="403" t="n"/>
      <c r="E44" s="403" t="n"/>
      <c r="F44" s="403" t="n"/>
      <c r="G44" s="403" t="n"/>
      <c r="H44" s="403" t="n"/>
      <c r="I44" s="403" t="n"/>
    </row>
    <row customFormat="1" r="45" s="48">
      <c r="D45" s="412" t="n"/>
      <c r="E45" s="412" t="n"/>
      <c r="F45" s="412" t="n"/>
      <c r="G45" s="412" t="n"/>
      <c r="H45" s="412" t="n"/>
      <c r="I45" s="412" t="n"/>
      <c r="K45" t="n"/>
    </row>
    <row customFormat="1" r="46" s="48">
      <c r="A46" s="46" t="inlineStr">
        <is>
          <t>D)</t>
        </is>
      </c>
      <c r="B46" s="51" t="inlineStr">
        <is>
          <t>Resultados:</t>
        </is>
      </c>
    </row>
    <row customFormat="1" customHeight="1" ht="5.25" r="47" s="48"/>
    <row customFormat="1" customHeight="1" ht="54.75" r="48" s="48">
      <c r="B48" s="616" t="inlineStr">
        <is>
          <t xml:space="preserve"> - De acuerdo con el analisis realizado se aprecia que, con las demandas proyectadas el cable subterraneo, el transformador de corriente y la red aerea a la salida del SET tienen capacidad para atender las demandas a mediano plazo.</t>
        </is>
      </c>
      <c r="C48" s="614" t="n"/>
      <c r="D48" s="614" t="n"/>
      <c r="E48" s="614" t="n"/>
      <c r="F48" s="614" t="n"/>
      <c r="G48" s="614" t="n"/>
      <c r="H48" s="614" t="n"/>
      <c r="I48" s="615" t="n"/>
    </row>
    <row customFormat="1" r="49" s="48"/>
    <row customFormat="1" r="50" s="48"/>
    <row customFormat="1" r="51" s="48"/>
    <row r="53">
      <c r="B53" s="54" t="n"/>
    </row>
  </sheetData>
  <mergeCells count="6">
    <mergeCell ref="A2:I2"/>
    <mergeCell ref="A1:I1"/>
    <mergeCell ref="I11:L12"/>
    <mergeCell ref="B48:I48"/>
    <mergeCell ref="D43:F43"/>
    <mergeCell ref="G43:I43"/>
  </mergeCells>
  <printOptions horizontalCentered="1"/>
  <pageMargins bottom="0.46" footer="0" header="0" left="0.7" right="0.28" top="0.5118110236220472"/>
  <pageSetup orientation="portrait" paperSize="9" scale="83"/>
  <headerFooter alignWithMargins="0">
    <oddHeader>&amp;L&amp;"Calibri"&amp;1 &amp;K000000 Información Pública#_x000d_</oddHeader>
    <oddFooter>&amp;LA. Ttito&amp;C&amp;P de &amp;N&amp;R26.07.2007</oddFooter>
    <evenHeader/>
    <evenFooter/>
    <firstHeader/>
    <firstFooter/>
  </headerFooter>
  <rowBreaks count="1" manualBreakCount="1">
    <brk id="21" man="1" max="9" min="0"/>
  </rowBreaks>
  <colBreaks count="1" manualBreakCount="1">
    <brk id="11" man="1" max="1048575" min="0"/>
  </colBreaks>
  <drawing r:id="rId1"/>
  <legacyDrawing r:id="anysvml"/>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S70"/>
  <sheetViews>
    <sheetView topLeftCell="A4" workbookViewId="0" zoomScale="83" zoomScaleNormal="83" zoomScalePageLayoutView="115">
      <selection activeCell="F41" sqref="F41"/>
    </sheetView>
  </sheetViews>
  <sheetFormatPr baseColWidth="10" defaultColWidth="11.42578125" defaultRowHeight="15"/>
  <cols>
    <col bestFit="1" customWidth="1" max="1" min="1" width="8.42578125"/>
    <col customWidth="1" max="2" min="2" width="56.5703125"/>
    <col bestFit="1" customWidth="1" max="3" min="3" width="11.5703125"/>
    <col customWidth="1" max="4" min="4" width="10.42578125"/>
    <col customWidth="1" max="5" min="5" width="7.5703125"/>
    <col bestFit="1" customWidth="1" max="6" min="6" width="6.5703125"/>
    <col bestFit="1" customWidth="1" max="7" min="7" width="7.5703125"/>
    <col bestFit="1" customWidth="1" max="8" min="8" width="11.5703125"/>
    <col bestFit="1" customWidth="1" max="9" min="9" width="7.5703125"/>
    <col bestFit="1" customWidth="1" max="10" min="10" width="6.85546875"/>
    <col bestFit="1" customWidth="1" max="11" min="11" width="35.42578125"/>
    <col customWidth="1" max="12" min="12" width="10.140625"/>
    <col bestFit="1" customWidth="1" max="13" min="13" width="10.85546875"/>
    <col bestFit="1" customWidth="1" max="14" min="14" width="30.5703125"/>
    <col customWidth="1" max="18" min="15" width="10.5703125"/>
    <col customWidth="1" max="19" min="19" width="7.140625"/>
    <col bestFit="1" customWidth="1" max="20" min="20" width="5.140625"/>
    <col bestFit="1" customWidth="1" max="21" min="21" width="48.85546875"/>
    <col bestFit="1" customWidth="1" max="22" min="22" width="9.5703125"/>
    <col customWidth="1" max="23" min="23" width="14.140625"/>
    <col bestFit="1" customWidth="1" max="24" min="24" width="8.5703125"/>
  </cols>
  <sheetData>
    <row r="1">
      <c r="A1" s="503" t="n"/>
    </row>
    <row r="2">
      <c r="A2" s="504" t="inlineStr">
        <is>
          <t>ESCENARIO ACTUAL DEL ALIMENTADOR CA101</t>
        </is>
      </c>
      <c r="F2" s="503" t="n"/>
      <c r="G2" s="503" t="n"/>
      <c r="H2" s="503" t="n"/>
      <c r="I2" s="503" t="n"/>
      <c r="J2" s="503" t="n"/>
    </row>
    <row customFormat="1" r="3" s="153">
      <c r="A3" s="153" t="n">
        <v>1</v>
      </c>
      <c r="B3" s="153" t="inlineStr">
        <is>
          <t>Estado actual.</t>
        </is>
      </c>
      <c r="C3" s="348" t="n"/>
      <c r="D3" s="348" t="n"/>
      <c r="E3" s="348" t="n"/>
      <c r="I3" s="348" t="n"/>
      <c r="J3" s="348" t="n"/>
    </row>
    <row customFormat="1" r="4" s="153">
      <c r="B4" s="153" t="inlineStr">
        <is>
          <t>𝑓𝑝é𝑟𝑑𝑖𝑑𝑎𝑠 = 0,3∗𝑓𝑐𝑎𝑟𝑔𝑎+0,7∗𝑓𝑐𝑎𝑟𝑔𝑎2</t>
        </is>
      </c>
      <c r="C4" s="420" t="inlineStr">
        <is>
          <t>Vp.u.</t>
        </is>
      </c>
      <c r="D4" s="420" t="inlineStr">
        <is>
          <t>kVLL</t>
        </is>
      </c>
      <c r="E4" s="420" t="inlineStr">
        <is>
          <t>kVLN</t>
        </is>
      </c>
      <c r="F4" s="420" t="inlineStr">
        <is>
          <t>i (A)</t>
        </is>
      </c>
      <c r="G4" s="420" t="inlineStr">
        <is>
          <t>KVA</t>
        </is>
      </c>
      <c r="H4" s="420" t="inlineStr">
        <is>
          <t>kW</t>
        </is>
      </c>
      <c r="I4" s="420" t="inlineStr">
        <is>
          <t>kVAR</t>
        </is>
      </c>
    </row>
    <row customFormat="1" customHeight="1" ht="15.75" r="5" s="153" thickBot="1">
      <c r="C5" s="380" t="n">
        <v>0.802</v>
      </c>
      <c r="D5" s="381" t="n">
        <v>10</v>
      </c>
      <c r="E5" s="381" t="n">
        <v>5.8</v>
      </c>
      <c r="F5" s="381" t="n">
        <v>175.3</v>
      </c>
      <c r="G5" s="381" t="n">
        <v>3036.95</v>
      </c>
      <c r="H5" s="381" t="n">
        <v>3022</v>
      </c>
      <c r="I5" s="381" t="n">
        <v>301</v>
      </c>
    </row>
    <row customFormat="1" r="6" s="153">
      <c r="B6" s="367" t="inlineStr">
        <is>
          <t>FC</t>
        </is>
      </c>
      <c r="C6" s="153" t="n">
        <v>0.74</v>
      </c>
      <c r="D6" s="348" t="n"/>
      <c r="E6" s="348" t="n"/>
      <c r="I6" s="348" t="n"/>
      <c r="J6" s="348" t="n"/>
    </row>
    <row customFormat="1" r="7" s="153">
      <c r="B7" s="367" t="inlineStr">
        <is>
          <t>Fperdida</t>
        </is>
      </c>
      <c r="C7" s="366">
        <f>0.7*C6*C6+0.3*C6</f>
        <v/>
      </c>
      <c r="D7" s="348" t="n"/>
      <c r="E7" s="348" t="n"/>
      <c r="I7" s="348" t="n"/>
      <c r="J7" s="348" t="n"/>
    </row>
    <row customFormat="1" r="8" s="153"/>
    <row customFormat="1" customHeight="1" ht="15.75" r="9" s="153" thickBot="1"/>
    <row customFormat="1" customHeight="1" ht="26.25" r="10" s="153" thickBot="1">
      <c r="B10" s="351" t="inlineStr">
        <is>
          <t>Costo anual de las pérdidas del sistema</t>
        </is>
      </c>
      <c r="C10" s="352" t="n"/>
      <c r="D10" s="352" t="n"/>
      <c r="E10" s="353" t="n"/>
      <c r="H10" s="161" t="inlineStr">
        <is>
          <t>Condiciones anormales</t>
        </is>
      </c>
      <c r="I10" s="159" t="n"/>
      <c r="J10" s="159" t="n"/>
      <c r="K10" s="159" t="n"/>
      <c r="L10" s="160" t="n"/>
      <c r="N10" s="351" t="inlineStr">
        <is>
          <t>Flujo de carga - Reporte sumario</t>
        </is>
      </c>
      <c r="O10" s="352" t="n"/>
      <c r="P10" s="352" t="n"/>
      <c r="Q10" s="352" t="n"/>
      <c r="R10" s="353" t="n"/>
    </row>
    <row customFormat="1" customHeight="1" ht="15.75" r="11" s="153" thickBot="1">
      <c r="B11" s="162" t="n"/>
      <c r="C11" s="163" t="inlineStr">
        <is>
          <t>kW</t>
        </is>
      </c>
      <c r="D11" s="163" t="inlineStr">
        <is>
          <t>MW-h/año</t>
        </is>
      </c>
      <c r="E11" s="163" t="inlineStr">
        <is>
          <t>k$/año</t>
        </is>
      </c>
      <c r="H11" s="154" t="n"/>
      <c r="I11" s="155" t="inlineStr">
        <is>
          <t>Fase</t>
        </is>
      </c>
      <c r="J11" s="155" t="inlineStr">
        <is>
          <t>Conteo</t>
        </is>
      </c>
      <c r="K11" s="155" t="inlineStr">
        <is>
          <t>Peor caso</t>
        </is>
      </c>
      <c r="L11" s="155" t="inlineStr">
        <is>
          <t>Valor</t>
        </is>
      </c>
      <c r="N11" s="162" t="inlineStr">
        <is>
          <t>Resumen total</t>
        </is>
      </c>
      <c r="O11" s="163" t="inlineStr">
        <is>
          <t>kW</t>
        </is>
      </c>
      <c r="P11" s="163" t="inlineStr">
        <is>
          <t>kvar</t>
        </is>
      </c>
      <c r="Q11" s="163" t="inlineStr">
        <is>
          <t>kVA</t>
        </is>
      </c>
      <c r="R11" s="163" t="inlineStr">
        <is>
          <t>FP(%)</t>
        </is>
      </c>
    </row>
    <row customFormat="1" customHeight="1" ht="15.75" r="12" s="153" thickBot="1">
      <c r="B12" s="170" t="inlineStr">
        <is>
          <t>Pérdidas en las líneas</t>
        </is>
      </c>
      <c r="C12" s="346" t="n"/>
      <c r="D12" s="164" t="n"/>
      <c r="E12" s="164" t="n"/>
      <c r="H12" s="156" t="inlineStr">
        <is>
          <t>Sobrecarga</t>
        </is>
      </c>
      <c r="I12" s="343" t="inlineStr">
        <is>
          <t>A</t>
        </is>
      </c>
      <c r="J12" s="387" t="n">
        <v>0</v>
      </c>
      <c r="K12" s="164" t="n"/>
      <c r="L12" s="165" t="n"/>
      <c r="N12" s="170" t="inlineStr">
        <is>
          <t>Fuentes (Potencia de equilibrio)</t>
        </is>
      </c>
      <c r="O12" s="346" t="n">
        <v>3022</v>
      </c>
      <c r="P12" s="164" t="n">
        <v>301</v>
      </c>
      <c r="Q12" s="164" t="n">
        <v>3036.95</v>
      </c>
      <c r="R12" s="164" t="n">
        <v>99.51000000000001</v>
      </c>
    </row>
    <row customFormat="1" customHeight="1" ht="15.75" r="13" s="153" thickBot="1">
      <c r="B13" s="171" t="inlineStr">
        <is>
          <t>Pérdidas en los cables</t>
        </is>
      </c>
      <c r="C13" s="347" t="n">
        <v>0</v>
      </c>
      <c r="D13" s="166" t="n">
        <v>0</v>
      </c>
      <c r="E13" s="166" t="n">
        <v>0</v>
      </c>
      <c r="H13" s="157" t="n"/>
      <c r="I13" s="344" t="inlineStr">
        <is>
          <t>B</t>
        </is>
      </c>
      <c r="J13" s="388" t="n">
        <v>0</v>
      </c>
      <c r="K13" s="166" t="n"/>
      <c r="L13" s="167" t="n"/>
      <c r="N13" s="171" t="inlineStr">
        <is>
          <t>Generadores</t>
        </is>
      </c>
      <c r="O13" s="347" t="n">
        <v>0</v>
      </c>
      <c r="P13" s="166" t="n">
        <v>0</v>
      </c>
      <c r="Q13" s="166" t="n">
        <v>0</v>
      </c>
      <c r="R13" s="166" t="n">
        <v>0</v>
      </c>
    </row>
    <row customFormat="1" customHeight="1" ht="15.75" r="14" s="153" thickBot="1">
      <c r="B14" s="171" t="inlineStr">
        <is>
          <t>Pérdidas de carga del transformador</t>
        </is>
      </c>
      <c r="C14" s="347" t="n">
        <v>0</v>
      </c>
      <c r="D14" s="166" t="n">
        <v>0</v>
      </c>
      <c r="E14" s="166" t="n">
        <v>0</v>
      </c>
      <c r="H14" s="158" t="n"/>
      <c r="I14" s="345" t="inlineStr">
        <is>
          <t>C</t>
        </is>
      </c>
      <c r="J14" s="389" t="n">
        <v>0</v>
      </c>
      <c r="K14" s="168" t="n"/>
      <c r="L14" s="169" t="n"/>
      <c r="N14" s="172" t="inlineStr">
        <is>
          <t>Producción total</t>
        </is>
      </c>
      <c r="O14" s="342" t="n">
        <v>3022</v>
      </c>
      <c r="P14" s="173" t="n">
        <v>301</v>
      </c>
      <c r="Q14" s="173" t="n">
        <v>3036.95</v>
      </c>
      <c r="R14" s="173" t="n">
        <v>99.51000000000001</v>
      </c>
    </row>
    <row customFormat="1" customHeight="1" ht="15.75" r="15" s="153" thickBot="1">
      <c r="B15" s="171" t="inlineStr">
        <is>
          <t>Pérdidas en vacío del transformador</t>
        </is>
      </c>
      <c r="C15" s="347" t="n">
        <v>0</v>
      </c>
      <c r="D15" s="166" t="n">
        <v>0</v>
      </c>
      <c r="E15" s="166" t="n">
        <v>0</v>
      </c>
      <c r="H15" s="156" t="inlineStr">
        <is>
          <t>Subtensión</t>
        </is>
      </c>
      <c r="I15" s="344" t="inlineStr">
        <is>
          <t>A</t>
        </is>
      </c>
      <c r="J15" s="388" t="n">
        <v>0</v>
      </c>
      <c r="K15" s="166" t="n"/>
      <c r="L15" s="167" t="n">
        <v>0.802</v>
      </c>
      <c r="N15" s="171" t="inlineStr">
        <is>
          <t>Carga leída (no regulada)</t>
        </is>
      </c>
      <c r="O15" s="347" t="n">
        <v>3022</v>
      </c>
      <c r="P15" s="166" t="n">
        <v>301</v>
      </c>
      <c r="Q15" s="166" t="n">
        <v>3036.95</v>
      </c>
      <c r="R15" s="166" t="n">
        <v>99.51000000000001</v>
      </c>
    </row>
    <row customFormat="1" customHeight="1" ht="15.75" r="16" s="153" thickBot="1">
      <c r="B16" s="172" t="inlineStr">
        <is>
          <t>Pérdidas totales</t>
        </is>
      </c>
      <c r="C16" s="342" t="n"/>
      <c r="D16" s="173" t="n"/>
      <c r="E16" s="173" t="n"/>
      <c r="H16" s="157" t="n"/>
      <c r="I16" s="344" t="inlineStr">
        <is>
          <t>B</t>
        </is>
      </c>
      <c r="J16" s="388" t="n">
        <v>0</v>
      </c>
      <c r="K16" s="166" t="n"/>
      <c r="L16" s="167" t="n">
        <v>0.802</v>
      </c>
      <c r="N16" s="171" t="inlineStr">
        <is>
          <t>Carga utilizada (regulada)</t>
        </is>
      </c>
      <c r="O16" s="347" t="n">
        <v>3022</v>
      </c>
      <c r="P16" s="166" t="n">
        <v>301</v>
      </c>
      <c r="Q16" s="166" t="n">
        <v>3036.95</v>
      </c>
      <c r="R16" s="166" t="n">
        <v>99.51000000000001</v>
      </c>
    </row>
    <row customFormat="1" customHeight="1" ht="15.75" r="17" s="153" thickBot="1">
      <c r="H17" s="158" t="n"/>
      <c r="I17" s="345" t="inlineStr">
        <is>
          <t>C</t>
        </is>
      </c>
      <c r="J17" s="389" t="n">
        <v>0</v>
      </c>
      <c r="K17" s="168" t="n"/>
      <c r="L17" s="169" t="n">
        <v>0.802</v>
      </c>
      <c r="N17" s="171" t="inlineStr">
        <is>
          <t>Condensadores shunt (regulados)</t>
        </is>
      </c>
      <c r="O17" s="347" t="n">
        <v>0</v>
      </c>
      <c r="P17" s="166" t="n">
        <v>0</v>
      </c>
      <c r="Q17" s="166" t="n">
        <v>0</v>
      </c>
      <c r="R17" s="166" t="n">
        <v>0</v>
      </c>
    </row>
    <row customFormat="1" customHeight="1" ht="15.75" r="18" s="153" thickBot="1">
      <c r="B18" s="348" t="inlineStr">
        <is>
          <t>Dato del registro de mediciones</t>
        </is>
      </c>
      <c r="C18" s="348" t="n"/>
      <c r="H18" s="156" t="inlineStr">
        <is>
          <t>Sobretensión</t>
        </is>
      </c>
      <c r="I18" s="344" t="inlineStr">
        <is>
          <t>A</t>
        </is>
      </c>
      <c r="J18" s="388" t="n">
        <v>0</v>
      </c>
      <c r="K18" s="166" t="n"/>
      <c r="L18" s="167" t="n"/>
      <c r="N18" s="171" t="inlineStr">
        <is>
          <t>Reactancias shunt(reguladas)</t>
        </is>
      </c>
      <c r="O18" s="347" t="n">
        <v>0</v>
      </c>
      <c r="P18" s="166" t="n">
        <v>0</v>
      </c>
      <c r="Q18" s="166" t="n">
        <v>0</v>
      </c>
      <c r="R18" s="166" t="n">
        <v>0</v>
      </c>
    </row>
    <row customFormat="1" customHeight="1" ht="15.75" r="19" s="153" thickBot="1">
      <c r="B19" s="356" t="inlineStr">
        <is>
          <t>Energia kwh/año</t>
        </is>
      </c>
      <c r="C19" s="421" t="n"/>
      <c r="H19" s="157" t="n"/>
      <c r="I19" s="343" t="inlineStr">
        <is>
          <t>B</t>
        </is>
      </c>
      <c r="J19" s="387" t="n">
        <v>0</v>
      </c>
      <c r="K19" s="164" t="n"/>
      <c r="L19" s="165" t="n"/>
      <c r="N19" s="171" t="inlineStr">
        <is>
          <t>Motores</t>
        </is>
      </c>
      <c r="O19" s="347" t="n">
        <v>0</v>
      </c>
      <c r="P19" s="166" t="n">
        <v>0</v>
      </c>
      <c r="Q19" s="166" t="n">
        <v>0</v>
      </c>
      <c r="R19" s="166" t="n">
        <v>0</v>
      </c>
    </row>
    <row customFormat="1" customHeight="1" ht="15.75" r="20" s="153" thickBot="1">
      <c r="B20" s="356" t="inlineStr">
        <is>
          <t>Energia MW-h/año</t>
        </is>
      </c>
      <c r="C20" s="422" t="n"/>
      <c r="H20" s="158" t="n"/>
      <c r="I20" s="345" t="inlineStr">
        <is>
          <t>C</t>
        </is>
      </c>
      <c r="J20" s="389" t="n">
        <v>0</v>
      </c>
      <c r="K20" s="168" t="n"/>
      <c r="L20" s="169" t="n"/>
      <c r="M20" s="177" t="n"/>
      <c r="N20" s="172" t="inlineStr">
        <is>
          <t>Cargas totales</t>
        </is>
      </c>
      <c r="O20" s="342" t="n">
        <v>3022</v>
      </c>
      <c r="P20" s="173" t="n">
        <v>301</v>
      </c>
      <c r="Q20" s="173" t="n">
        <v>3036.95</v>
      </c>
      <c r="R20" s="173" t="n">
        <v>99.51000000000001</v>
      </c>
    </row>
    <row customFormat="1" customHeight="1" ht="15.75" r="21" s="153" thickBot="1">
      <c r="I21" s="174" t="n"/>
      <c r="J21" s="175" t="n"/>
      <c r="K21" s="175" t="n"/>
      <c r="L21" s="176" t="n"/>
      <c r="M21" s="177" t="n"/>
      <c r="N21" s="170" t="inlineStr">
        <is>
          <t>Capacitancia del cable</t>
        </is>
      </c>
      <c r="O21" s="346" t="n"/>
      <c r="P21" s="164" t="n"/>
      <c r="Q21" s="164" t="n"/>
      <c r="R21" s="164" t="n"/>
    </row>
    <row customFormat="1" customHeight="1" ht="15.75" r="22" s="153" thickBot="1">
      <c r="I22" s="174" t="n"/>
      <c r="J22" s="175" t="n"/>
      <c r="K22" s="175" t="n"/>
      <c r="L22" s="176" t="n"/>
      <c r="M22" s="177" t="n"/>
      <c r="N22" s="171" t="inlineStr">
        <is>
          <t>Capacitancia de la línea</t>
        </is>
      </c>
      <c r="O22" s="347" t="n"/>
      <c r="P22" s="166" t="n"/>
      <c r="Q22" s="166" t="n"/>
      <c r="R22" s="166" t="n"/>
    </row>
    <row customFormat="1" customHeight="1" ht="15.75" r="23" s="153" thickBot="1">
      <c r="I23" s="174" t="n"/>
      <c r="J23" s="175" t="n"/>
      <c r="K23" s="175" t="n"/>
      <c r="L23" s="176" t="n"/>
      <c r="M23" s="177" t="n"/>
      <c r="N23" s="172" t="inlineStr">
        <is>
          <t>Capacitancia shunt total</t>
        </is>
      </c>
      <c r="O23" s="342" t="n"/>
      <c r="P23" s="173" t="n"/>
      <c r="Q23" s="173" t="n"/>
      <c r="R23" s="173" t="n"/>
    </row>
    <row customFormat="1" customHeight="1" ht="15.75" r="24" s="153" thickBot="1">
      <c r="A24" s="179" t="n"/>
      <c r="I24" s="174" t="n"/>
      <c r="J24" s="175" t="n"/>
      <c r="K24" s="175" t="n"/>
      <c r="L24" s="176" t="n"/>
      <c r="M24" s="177" t="n"/>
      <c r="N24" s="171" t="inlineStr">
        <is>
          <t>Pérdidas en las líneas</t>
        </is>
      </c>
      <c r="O24" s="347" t="n"/>
      <c r="P24" s="166" t="n"/>
      <c r="Q24" s="166" t="n"/>
      <c r="R24" s="166" t="n"/>
    </row>
    <row customFormat="1" customHeight="1" ht="15.75" r="25" s="153" thickBot="1">
      <c r="A25" s="179" t="n"/>
      <c r="I25" s="174" t="n"/>
      <c r="J25" s="175" t="n"/>
      <c r="K25" s="175" t="n"/>
      <c r="L25" s="176" t="n"/>
      <c r="M25" s="177" t="n"/>
      <c r="N25" s="171" t="inlineStr">
        <is>
          <t>Pérdidas en los cables</t>
        </is>
      </c>
      <c r="O25" s="347" t="n"/>
      <c r="P25" s="166" t="n"/>
      <c r="Q25" s="166" t="n"/>
      <c r="R25" s="166" t="n"/>
    </row>
    <row customFormat="1" customHeight="1" ht="15.75" r="26" s="153" thickBot="1">
      <c r="A26" s="179" t="n"/>
      <c r="I26" s="174" t="n"/>
      <c r="J26" s="175" t="n"/>
      <c r="K26" s="175" t="n"/>
      <c r="L26" s="176" t="n"/>
      <c r="M26" s="177" t="n"/>
      <c r="N26" s="171" t="inlineStr">
        <is>
          <t>Pérdidas de carga del transformador</t>
        </is>
      </c>
      <c r="O26" s="347" t="n"/>
      <c r="P26" s="166" t="n"/>
      <c r="Q26" s="166" t="n"/>
      <c r="R26" s="166" t="n"/>
    </row>
    <row customFormat="1" customHeight="1" ht="15.75" r="27" s="153" thickBot="1">
      <c r="A27" s="179" t="n"/>
      <c r="I27" s="174" t="n"/>
      <c r="J27" s="175" t="n"/>
      <c r="K27" s="175" t="n"/>
      <c r="L27" s="176" t="n"/>
      <c r="M27" s="177" t="n"/>
      <c r="N27" s="171" t="inlineStr">
        <is>
          <t>Pérdidas en vacío del transformador</t>
        </is>
      </c>
      <c r="O27" s="347" t="n"/>
      <c r="P27" s="166" t="n"/>
      <c r="Q27" s="166" t="n"/>
      <c r="R27" s="166" t="n"/>
    </row>
    <row customFormat="1" customHeight="1" ht="15.75" r="28" s="153" thickBot="1">
      <c r="A28" s="179" t="n"/>
      <c r="I28" s="174" t="n"/>
      <c r="J28" s="175" t="n"/>
      <c r="K28" s="175" t="n"/>
      <c r="L28" s="176" t="n"/>
      <c r="M28" s="177" t="n"/>
      <c r="N28" s="172" t="inlineStr">
        <is>
          <t>Pérdidas totales</t>
        </is>
      </c>
      <c r="O28" s="342" t="n"/>
      <c r="P28" s="173" t="n"/>
      <c r="Q28" s="173" t="n"/>
      <c r="R28" s="173" t="n"/>
    </row>
    <row customFormat="1" r="29" s="153">
      <c r="A29" s="179" t="n"/>
      <c r="I29" s="174" t="n"/>
      <c r="J29" s="175" t="n"/>
      <c r="K29" s="175" t="n"/>
      <c r="L29" s="176" t="n"/>
      <c r="M29" s="177" t="n"/>
      <c r="N29" s="175" t="n"/>
      <c r="O29" s="175" t="n"/>
      <c r="P29" s="175" t="n"/>
      <c r="Q29" s="175" t="n"/>
      <c r="R29" s="175" t="n"/>
      <c r="S29" s="175" t="n"/>
    </row>
    <row customFormat="1" r="30" s="153">
      <c r="A30" s="179" t="n"/>
      <c r="I30" s="174" t="n"/>
      <c r="J30" s="175" t="n"/>
      <c r="K30" s="175" t="n"/>
      <c r="L30" s="176" t="n"/>
      <c r="M30" s="177" t="n"/>
      <c r="N30" s="175" t="n"/>
      <c r="O30" s="175" t="n"/>
      <c r="P30" s="175" t="n"/>
      <c r="Q30" s="175" t="n"/>
      <c r="R30" s="175" t="n"/>
      <c r="S30" s="175" t="n"/>
    </row>
    <row customFormat="1" r="31" s="153">
      <c r="A31" s="179" t="n"/>
      <c r="I31" s="174" t="n"/>
      <c r="J31" s="175" t="n"/>
      <c r="K31" s="175" t="n"/>
      <c r="L31" s="176" t="n"/>
      <c r="M31" s="177" t="n"/>
      <c r="N31" s="175" t="n"/>
      <c r="O31" s="175" t="n"/>
      <c r="P31" s="175" t="n"/>
      <c r="Q31" s="175" t="n"/>
      <c r="R31" s="175" t="n"/>
      <c r="S31" s="175" t="n"/>
    </row>
    <row customFormat="1" r="32" s="153">
      <c r="A32" s="179" t="n"/>
      <c r="I32" s="174" t="n"/>
      <c r="J32" s="175" t="n"/>
      <c r="K32" s="175" t="n"/>
      <c r="L32" s="176" t="n"/>
      <c r="M32" s="177" t="n"/>
      <c r="N32" s="175" t="n"/>
      <c r="O32" s="175" t="n"/>
      <c r="P32" s="175" t="n"/>
      <c r="Q32" s="175" t="n"/>
      <c r="R32" s="175" t="n"/>
      <c r="S32" s="175" t="n"/>
    </row>
    <row customFormat="1" r="33" s="153">
      <c r="A33" s="179" t="n"/>
      <c r="I33" s="174" t="n"/>
      <c r="J33" s="175" t="n"/>
      <c r="K33" s="175" t="n"/>
      <c r="L33" s="176" t="n"/>
      <c r="M33" s="177" t="n"/>
      <c r="N33" s="175" t="n"/>
      <c r="O33" s="175" t="n"/>
      <c r="P33" s="175" t="n"/>
      <c r="Q33" s="175" t="n"/>
      <c r="R33" s="175" t="n"/>
      <c r="S33" s="175" t="n"/>
    </row>
    <row customFormat="1" r="34" s="153">
      <c r="A34" s="179" t="n"/>
      <c r="B34" s="504" t="inlineStr">
        <is>
          <t>ESCENARIO PROYECTADO DEL ALIMENTADOR A LL202</t>
        </is>
      </c>
      <c r="I34" s="174" t="n"/>
      <c r="J34" s="175" t="n"/>
      <c r="K34" s="175" t="n"/>
      <c r="L34" s="176" t="n"/>
      <c r="M34" s="177" t="n"/>
      <c r="N34" s="175" t="n"/>
      <c r="O34" s="175" t="n"/>
      <c r="P34" s="175" t="n"/>
      <c r="Q34" s="175" t="n"/>
      <c r="R34" s="175" t="n"/>
      <c r="S34" s="175" t="n"/>
    </row>
    <row customFormat="1" r="35" s="153">
      <c r="A35" s="179" t="n"/>
      <c r="I35" s="174" t="n"/>
      <c r="J35" s="175" t="n"/>
      <c r="K35" s="175" t="n"/>
      <c r="L35" s="176" t="n"/>
      <c r="M35" s="177" t="n"/>
      <c r="N35" s="175" t="n"/>
      <c r="O35" s="175" t="n"/>
      <c r="P35" s="175" t="n"/>
      <c r="Q35" s="175" t="n"/>
      <c r="R35" s="175" t="n"/>
      <c r="S35" s="175" t="n"/>
    </row>
    <row customFormat="1" r="36" s="153">
      <c r="A36" s="179" t="n"/>
      <c r="I36" s="174" t="n"/>
      <c r="J36" s="175" t="n"/>
      <c r="K36" s="175" t="n"/>
      <c r="L36" s="176" t="n"/>
      <c r="M36" s="177" t="n"/>
      <c r="N36" s="175" t="n"/>
      <c r="O36" s="175" t="n"/>
      <c r="P36" s="175" t="n"/>
      <c r="Q36" s="175" t="n"/>
      <c r="R36" s="175" t="n"/>
      <c r="S36" s="175" t="n"/>
    </row>
    <row customFormat="1" r="37" s="153">
      <c r="A37" s="153" t="n">
        <v>1</v>
      </c>
      <c r="B37" s="153" t="inlineStr">
        <is>
          <t>Estado proyectado_parte 1</t>
        </is>
      </c>
      <c r="C37" s="348" t="n"/>
      <c r="D37" s="348" t="n"/>
      <c r="E37" s="348" t="n"/>
      <c r="I37" s="348" t="n"/>
      <c r="J37" s="175" t="n"/>
      <c r="K37" s="175" t="n"/>
      <c r="L37" s="176" t="n"/>
      <c r="M37" s="177" t="n"/>
      <c r="N37" s="175" t="n"/>
      <c r="O37" s="175" t="n"/>
      <c r="P37" s="175" t="n"/>
      <c r="Q37" s="175" t="n"/>
      <c r="R37" s="175" t="n"/>
      <c r="S37" s="175" t="n"/>
    </row>
    <row customFormat="1" r="38" s="153">
      <c r="B38" s="153" t="inlineStr">
        <is>
          <t>𝑓𝑝é𝑟𝑑𝑖𝑑𝑎𝑠 = 0,3∗𝑓𝑐𝑎𝑟𝑔𝑎+0,7∗𝑓𝑐𝑎𝑟𝑔𝑎2</t>
        </is>
      </c>
      <c r="C38" s="420" t="inlineStr">
        <is>
          <t>Vp.u.</t>
        </is>
      </c>
      <c r="D38" s="420" t="inlineStr">
        <is>
          <t>kVLL</t>
        </is>
      </c>
      <c r="E38" s="420" t="inlineStr">
        <is>
          <t>kVLN</t>
        </is>
      </c>
      <c r="F38" s="420" t="inlineStr">
        <is>
          <t>i (A)</t>
        </is>
      </c>
      <c r="G38" s="420" t="inlineStr">
        <is>
          <t>KVA</t>
        </is>
      </c>
      <c r="H38" s="420" t="inlineStr">
        <is>
          <t>kW</t>
        </is>
      </c>
      <c r="I38" s="420" t="inlineStr">
        <is>
          <t>kVAR</t>
        </is>
      </c>
      <c r="J38" s="175" t="n"/>
      <c r="K38" s="175" t="n"/>
      <c r="L38" s="176" t="n"/>
      <c r="M38" s="177" t="n"/>
      <c r="N38" s="175" t="n"/>
      <c r="O38" s="175" t="n"/>
      <c r="P38" s="175" t="n"/>
      <c r="Q38" s="175" t="n"/>
      <c r="R38" s="175" t="n"/>
      <c r="S38" s="175" t="n"/>
    </row>
    <row customFormat="1" customHeight="1" ht="15.75" r="39" s="153" thickBot="1">
      <c r="C39" s="380" t="n">
        <v>0.99</v>
      </c>
      <c r="D39" s="381" t="n">
        <v>9.9</v>
      </c>
      <c r="E39" s="381" t="n">
        <v>5.7</v>
      </c>
      <c r="F39" s="381" t="n">
        <v>199</v>
      </c>
      <c r="G39" s="381" t="n">
        <v>3233.12</v>
      </c>
      <c r="H39" s="381" t="n">
        <v>3233.12</v>
      </c>
      <c r="I39" s="381" t="n">
        <v>1156.66</v>
      </c>
      <c r="J39" s="175" t="n"/>
      <c r="K39" s="175" t="n"/>
      <c r="L39" s="176" t="n"/>
      <c r="M39" s="177" t="n"/>
      <c r="N39" s="175" t="n"/>
      <c r="O39" s="175" t="n"/>
      <c r="P39" s="175" t="n"/>
      <c r="Q39" s="175" t="n"/>
      <c r="R39" s="175" t="n"/>
      <c r="S39" s="175" t="n"/>
    </row>
    <row customFormat="1" r="40" s="153">
      <c r="B40" s="367" t="inlineStr">
        <is>
          <t>FC</t>
        </is>
      </c>
      <c r="C40" s="153" t="n">
        <v>0.74</v>
      </c>
      <c r="D40" s="348" t="n"/>
      <c r="E40" s="348" t="n"/>
      <c r="I40" s="348" t="n"/>
      <c r="J40" s="175" t="n"/>
      <c r="K40" s="175" t="n"/>
      <c r="L40" s="176" t="n"/>
      <c r="M40" s="177" t="n"/>
      <c r="N40" s="175" t="n"/>
      <c r="O40" s="175" t="n"/>
      <c r="P40" s="175" t="n"/>
      <c r="Q40" s="175" t="n"/>
      <c r="R40" s="175" t="n"/>
      <c r="S40" s="175" t="n"/>
    </row>
    <row customFormat="1" r="41" s="153">
      <c r="B41" s="367" t="inlineStr">
        <is>
          <t>Fperdida</t>
        </is>
      </c>
      <c r="C41" s="366">
        <f>0.7*C40*C40+0.3*C40</f>
        <v/>
      </c>
      <c r="D41" s="348" t="n"/>
      <c r="E41" s="348" t="n"/>
      <c r="I41" s="348" t="n"/>
      <c r="J41" s="175" t="n"/>
      <c r="K41" s="175" t="n"/>
      <c r="L41" s="176" t="n"/>
      <c r="M41" s="177" t="n"/>
      <c r="N41" s="175" t="n"/>
      <c r="O41" s="175" t="n"/>
      <c r="P41" s="175" t="n"/>
      <c r="Q41" s="175" t="n"/>
      <c r="R41" s="175" t="n"/>
      <c r="S41" s="175" t="n"/>
    </row>
    <row customFormat="1" r="42" s="153">
      <c r="A42" s="179" t="n"/>
      <c r="I42" s="174" t="n"/>
      <c r="J42" s="175" t="n"/>
      <c r="K42" s="175" t="n"/>
      <c r="L42" s="176" t="n"/>
      <c r="M42" s="177" t="n"/>
      <c r="N42" s="175" t="n"/>
      <c r="O42" s="175" t="n"/>
      <c r="P42" s="175" t="n"/>
      <c r="Q42" s="175" t="n"/>
      <c r="R42" s="175" t="n"/>
      <c r="S42" s="175" t="n"/>
    </row>
    <row customFormat="1" customHeight="1" ht="15.75" r="43" s="153" thickBot="1">
      <c r="A43" s="179" t="n"/>
      <c r="I43" s="174" t="n"/>
      <c r="J43" s="175" t="n"/>
      <c r="K43" s="175" t="n"/>
      <c r="L43" s="176" t="n"/>
      <c r="M43" s="177" t="n"/>
      <c r="N43" s="175" t="n"/>
      <c r="O43" s="175" t="n"/>
      <c r="P43" s="175" t="n"/>
      <c r="Q43" s="175" t="n"/>
      <c r="R43" s="175" t="n"/>
      <c r="S43" s="175" t="n"/>
    </row>
    <row customFormat="1" customHeight="1" ht="26.25" r="44" s="153" thickBot="1">
      <c r="A44" s="179" t="n"/>
      <c r="B44" s="351" t="inlineStr">
        <is>
          <t>Costo anual de las pérdidas del sistema</t>
        </is>
      </c>
      <c r="C44" s="352" t="n"/>
      <c r="D44" s="352" t="n"/>
      <c r="E44" s="353" t="n"/>
      <c r="H44" s="161" t="inlineStr">
        <is>
          <t>Condiciones anormales</t>
        </is>
      </c>
      <c r="I44" s="159" t="n"/>
      <c r="J44" s="159" t="n"/>
      <c r="K44" s="159" t="n"/>
      <c r="L44" s="160" t="n"/>
      <c r="N44" s="351" t="inlineStr">
        <is>
          <t>Flujo de carga - Reporte sumario</t>
        </is>
      </c>
      <c r="O44" s="352" t="n"/>
      <c r="P44" s="352" t="n"/>
      <c r="Q44" s="352" t="n"/>
      <c r="R44" s="353" t="n"/>
      <c r="S44" s="175" t="n"/>
    </row>
    <row customFormat="1" customHeight="1" ht="15.75" r="45" s="153" thickBot="1">
      <c r="A45" s="179" t="n"/>
      <c r="B45" s="162" t="n"/>
      <c r="C45" s="163" t="inlineStr">
        <is>
          <t>kW</t>
        </is>
      </c>
      <c r="D45" s="163" t="inlineStr">
        <is>
          <t>MW-h/año</t>
        </is>
      </c>
      <c r="E45" s="163" t="inlineStr">
        <is>
          <t>k$/año</t>
        </is>
      </c>
      <c r="H45" s="154" t="n"/>
      <c r="I45" s="155" t="inlineStr">
        <is>
          <t>Fase</t>
        </is>
      </c>
      <c r="J45" s="155" t="inlineStr">
        <is>
          <t>Conteo</t>
        </is>
      </c>
      <c r="K45" s="155" t="inlineStr">
        <is>
          <t>Peor caso</t>
        </is>
      </c>
      <c r="L45" s="155" t="inlineStr">
        <is>
          <t>Valor</t>
        </is>
      </c>
      <c r="N45" s="162" t="inlineStr">
        <is>
          <t>Resumen total</t>
        </is>
      </c>
      <c r="O45" s="163" t="inlineStr">
        <is>
          <t>kW</t>
        </is>
      </c>
      <c r="P45" s="163" t="inlineStr">
        <is>
          <t>kvar</t>
        </is>
      </c>
      <c r="Q45" s="163" t="inlineStr">
        <is>
          <t>kVA</t>
        </is>
      </c>
      <c r="R45" s="163" t="inlineStr">
        <is>
          <t>FP(%)</t>
        </is>
      </c>
      <c r="S45" s="175" t="n"/>
    </row>
    <row customFormat="1" customHeight="1" ht="15.75" r="46" s="153" thickBot="1">
      <c r="A46" s="179" t="n"/>
      <c r="B46" s="170" t="inlineStr">
        <is>
          <t>Pérdidas en las líneas</t>
        </is>
      </c>
      <c r="C46" s="346" t="n">
        <v>157.61</v>
      </c>
      <c r="D46" s="164" t="n">
        <v>505.5</v>
      </c>
      <c r="E46" s="164" t="n">
        <v>50.55</v>
      </c>
      <c r="H46" s="156" t="inlineStr">
        <is>
          <t>Sobrecarga</t>
        </is>
      </c>
      <c r="I46" s="343" t="inlineStr">
        <is>
          <t>A</t>
        </is>
      </c>
      <c r="J46" s="387" t="n">
        <v>2</v>
      </c>
      <c r="K46" s="164" t="inlineStr">
        <is>
          <t>SEC_2010_329525_SE70004</t>
        </is>
      </c>
      <c r="L46" s="165" t="n">
        <v>1.7367</v>
      </c>
      <c r="N46" s="170" t="inlineStr">
        <is>
          <t>Fuentes (Potencia de equilibrio)</t>
        </is>
      </c>
      <c r="O46" s="346" t="n">
        <v>3233.12</v>
      </c>
      <c r="P46" s="164" t="n">
        <v>1156.66</v>
      </c>
      <c r="Q46" s="164" t="n">
        <v>3433.79</v>
      </c>
      <c r="R46" s="164" t="n">
        <v>94.16</v>
      </c>
      <c r="S46" s="175" t="n"/>
    </row>
    <row customFormat="1" customHeight="1" ht="15.75" r="47" s="153" thickBot="1">
      <c r="A47" s="179" t="n"/>
      <c r="B47" s="171" t="inlineStr">
        <is>
          <t>Pérdidas en los cables</t>
        </is>
      </c>
      <c r="C47" s="347" t="n">
        <v>0</v>
      </c>
      <c r="D47" s="166" t="n">
        <v>0</v>
      </c>
      <c r="E47" s="166" t="n">
        <v>0</v>
      </c>
      <c r="H47" s="157" t="n"/>
      <c r="I47" s="344" t="inlineStr">
        <is>
          <t>B</t>
        </is>
      </c>
      <c r="J47" s="388" t="n">
        <v>1</v>
      </c>
      <c r="K47" s="166" t="inlineStr">
        <is>
          <t>SEC_2010_329525_SE70004</t>
        </is>
      </c>
      <c r="L47" s="167" t="n">
        <v>1.7366</v>
      </c>
      <c r="N47" s="171" t="inlineStr">
        <is>
          <t>Generadores</t>
        </is>
      </c>
      <c r="O47" s="347" t="n">
        <v>0</v>
      </c>
      <c r="P47" s="166" t="n">
        <v>0</v>
      </c>
      <c r="Q47" s="166" t="n">
        <v>0</v>
      </c>
      <c r="R47" s="166" t="n">
        <v>0</v>
      </c>
      <c r="S47" s="175" t="n"/>
    </row>
    <row customFormat="1" customHeight="1" ht="15.75" r="48" s="153" thickBot="1">
      <c r="A48" s="179" t="n"/>
      <c r="B48" s="171" t="inlineStr">
        <is>
          <t>Pérdidas de carga del transformador</t>
        </is>
      </c>
      <c r="C48" s="347" t="n">
        <v>0</v>
      </c>
      <c r="D48" s="166" t="n">
        <v>0</v>
      </c>
      <c r="E48" s="166" t="n">
        <v>0</v>
      </c>
      <c r="H48" s="158" t="n"/>
      <c r="I48" s="345" t="inlineStr">
        <is>
          <t>C</t>
        </is>
      </c>
      <c r="J48" s="389" t="n">
        <v>1</v>
      </c>
      <c r="K48" s="168" t="inlineStr">
        <is>
          <t>SEC_2010_329525_SE70004</t>
        </is>
      </c>
      <c r="L48" s="169" t="n">
        <v>1.7368</v>
      </c>
      <c r="N48" s="172" t="inlineStr">
        <is>
          <t>Producción total</t>
        </is>
      </c>
      <c r="O48" s="342" t="n">
        <v>3233.12</v>
      </c>
      <c r="P48" s="173" t="n">
        <v>1156.66</v>
      </c>
      <c r="Q48" s="173" t="n">
        <v>3433.79</v>
      </c>
      <c r="R48" s="173" t="n">
        <v>94.16</v>
      </c>
      <c r="S48" s="175" t="n"/>
    </row>
    <row customFormat="1" customHeight="1" ht="15.75" r="49" s="153" thickBot="1">
      <c r="A49" s="179" t="n"/>
      <c r="B49" s="171" t="inlineStr">
        <is>
          <t>Pérdidas en vacío del transformador</t>
        </is>
      </c>
      <c r="C49" s="347" t="n">
        <v>0</v>
      </c>
      <c r="D49" s="166" t="n">
        <v>0</v>
      </c>
      <c r="E49" s="166" t="n">
        <v>0</v>
      </c>
      <c r="H49" s="156" t="inlineStr">
        <is>
          <t>Subtensión</t>
        </is>
      </c>
      <c r="I49" s="344" t="inlineStr">
        <is>
          <t>A</t>
        </is>
      </c>
      <c r="J49" s="388" t="n">
        <v>0</v>
      </c>
      <c r="K49" s="166" t="n">
        <v>37</v>
      </c>
      <c r="L49" s="167" t="n">
        <v>0.9651999999999999</v>
      </c>
      <c r="N49" s="171" t="inlineStr">
        <is>
          <t>Carga leída (no regulada)</t>
        </is>
      </c>
      <c r="O49" s="347" t="n">
        <v>3182.04</v>
      </c>
      <c r="P49" s="166" t="n">
        <v>1101.44</v>
      </c>
      <c r="Q49" s="166" t="n">
        <v>3367.28</v>
      </c>
      <c r="R49" s="166" t="n">
        <v>94.5</v>
      </c>
      <c r="S49" s="175" t="n"/>
    </row>
    <row customFormat="1" customHeight="1" ht="15.75" r="50" s="153" thickBot="1">
      <c r="A50" s="179" t="n"/>
      <c r="B50" s="172" t="inlineStr">
        <is>
          <t>Pérdidas totales</t>
        </is>
      </c>
      <c r="C50" s="342" t="n">
        <v>157.61</v>
      </c>
      <c r="D50" s="173" t="n">
        <v>505.5</v>
      </c>
      <c r="E50" s="173" t="n">
        <v>50.55</v>
      </c>
      <c r="H50" s="157" t="n"/>
      <c r="I50" s="344" t="inlineStr">
        <is>
          <t>B</t>
        </is>
      </c>
      <c r="J50" s="388" t="n">
        <v>0</v>
      </c>
      <c r="K50" s="166" t="n">
        <v>37</v>
      </c>
      <c r="L50" s="167" t="n">
        <v>0.9599</v>
      </c>
      <c r="N50" s="171" t="inlineStr">
        <is>
          <t>Carga utilizada (regulada)</t>
        </is>
      </c>
      <c r="O50" s="347" t="n">
        <v>3182</v>
      </c>
      <c r="P50" s="166" t="n">
        <v>1101.38</v>
      </c>
      <c r="Q50" s="166" t="n">
        <v>3367.22</v>
      </c>
      <c r="R50" s="166" t="n">
        <v>94.5</v>
      </c>
      <c r="S50" s="175" t="n"/>
    </row>
    <row customFormat="1" customHeight="1" ht="15.75" r="51" s="153" thickBot="1">
      <c r="A51" s="179" t="n"/>
      <c r="H51" s="158" t="n"/>
      <c r="I51" s="345" t="inlineStr">
        <is>
          <t>C</t>
        </is>
      </c>
      <c r="J51" s="389" t="n">
        <v>0</v>
      </c>
      <c r="K51" s="168" t="n">
        <v>37</v>
      </c>
      <c r="L51" s="169" t="n">
        <v>0.9643</v>
      </c>
      <c r="N51" s="171" t="inlineStr">
        <is>
          <t>Condensadores shunt (regulados)</t>
        </is>
      </c>
      <c r="O51" s="347" t="n">
        <v>0</v>
      </c>
      <c r="P51" s="166" t="n">
        <v>0</v>
      </c>
      <c r="Q51" s="166" t="n">
        <v>0</v>
      </c>
      <c r="R51" s="166" t="n">
        <v>0</v>
      </c>
      <c r="S51" s="175" t="n"/>
    </row>
    <row customFormat="1" customHeight="1" ht="15.75" r="52" s="153" thickBot="1">
      <c r="A52" s="179" t="n"/>
      <c r="B52" s="348" t="inlineStr">
        <is>
          <t>Dato del registro de mediciones</t>
        </is>
      </c>
      <c r="C52" s="348" t="n"/>
      <c r="H52" s="156" t="inlineStr">
        <is>
          <t>Sobretensión</t>
        </is>
      </c>
      <c r="I52" s="344" t="inlineStr">
        <is>
          <t>A</t>
        </is>
      </c>
      <c r="J52" s="388" t="n">
        <v>0</v>
      </c>
      <c r="K52" s="166" t="inlineStr">
        <is>
          <t>NET_2030_147_LL202</t>
        </is>
      </c>
      <c r="L52" s="167" t="n">
        <v>1.0483</v>
      </c>
      <c r="N52" s="171" t="inlineStr">
        <is>
          <t>Reactancias shunt(reguladas)</t>
        </is>
      </c>
      <c r="O52" s="347" t="n">
        <v>0</v>
      </c>
      <c r="P52" s="166" t="n">
        <v>0</v>
      </c>
      <c r="Q52" s="166" t="n">
        <v>0</v>
      </c>
      <c r="R52" s="166" t="n">
        <v>0</v>
      </c>
      <c r="S52" s="175" t="n"/>
    </row>
    <row customFormat="1" customHeight="1" ht="15.75" r="53" s="153" thickBot="1">
      <c r="A53" s="179" t="n"/>
      <c r="B53" s="356" t="inlineStr">
        <is>
          <t>Energia kwh/año</t>
        </is>
      </c>
      <c r="C53" s="421" t="n"/>
      <c r="H53" s="157" t="n"/>
      <c r="I53" s="343" t="inlineStr">
        <is>
          <t>B</t>
        </is>
      </c>
      <c r="J53" s="387" t="n">
        <v>0</v>
      </c>
      <c r="K53" s="164" t="inlineStr">
        <is>
          <t>NET_2030_147_LL202</t>
        </is>
      </c>
      <c r="L53" s="165" t="n">
        <v>1.0483</v>
      </c>
      <c r="N53" s="171" t="inlineStr">
        <is>
          <t>Motores</t>
        </is>
      </c>
      <c r="O53" s="347" t="n">
        <v>0</v>
      </c>
      <c r="P53" s="166" t="n">
        <v>0</v>
      </c>
      <c r="Q53" s="166" t="n">
        <v>0</v>
      </c>
      <c r="R53" s="166" t="n">
        <v>0</v>
      </c>
      <c r="S53" s="175" t="n"/>
    </row>
    <row customFormat="1" customHeight="1" ht="15.75" r="54" s="153" thickBot="1">
      <c r="A54" s="179" t="n"/>
      <c r="B54" s="356" t="inlineStr">
        <is>
          <t>Energia MW-h/año</t>
        </is>
      </c>
      <c r="C54" s="422" t="n"/>
      <c r="H54" s="158" t="n"/>
      <c r="I54" s="345" t="inlineStr">
        <is>
          <t>C</t>
        </is>
      </c>
      <c r="J54" s="389" t="n">
        <v>0</v>
      </c>
      <c r="K54" s="168" t="inlineStr">
        <is>
          <t>NET_2030_147_LL202</t>
        </is>
      </c>
      <c r="L54" s="169" t="n">
        <v>1.0483</v>
      </c>
      <c r="M54" s="177" t="n"/>
      <c r="N54" s="172" t="inlineStr">
        <is>
          <t>Cargas totales</t>
        </is>
      </c>
      <c r="O54" s="342" t="n">
        <v>3182</v>
      </c>
      <c r="P54" s="173" t="n">
        <v>1101.38</v>
      </c>
      <c r="Q54" s="173" t="n">
        <v>3367.22</v>
      </c>
      <c r="R54" s="173" t="n">
        <v>94.5</v>
      </c>
      <c r="S54" s="175" t="n"/>
    </row>
    <row customFormat="1" customHeight="1" ht="15.75" r="55" s="153" thickBot="1">
      <c r="A55" s="179" t="n"/>
      <c r="I55" s="174" t="n"/>
      <c r="J55" s="175" t="n"/>
      <c r="K55" s="175" t="n"/>
      <c r="L55" s="176" t="n"/>
      <c r="M55" s="177" t="n"/>
      <c r="N55" s="170" t="inlineStr">
        <is>
          <t>Capacitancia del cable</t>
        </is>
      </c>
      <c r="O55" s="346" t="n">
        <v>0</v>
      </c>
      <c r="P55" s="164" t="n">
        <v>-8.199999999999999</v>
      </c>
      <c r="Q55" s="164" t="n">
        <v>8.199999999999999</v>
      </c>
      <c r="R55" s="164" t="n">
        <v>0</v>
      </c>
      <c r="S55" s="175" t="n"/>
    </row>
    <row customFormat="1" customHeight="1" ht="15.75" r="56" s="153" thickBot="1">
      <c r="A56" s="179" t="n"/>
      <c r="I56" s="174" t="n"/>
      <c r="J56" s="175" t="n"/>
      <c r="K56" s="175" t="n"/>
      <c r="L56" s="176" t="n"/>
      <c r="M56" s="177" t="n"/>
      <c r="N56" s="171" t="inlineStr">
        <is>
          <t>Capacitancia de la línea</t>
        </is>
      </c>
      <c r="O56" s="347" t="n">
        <v>0</v>
      </c>
      <c r="P56" s="166" t="n">
        <v>-7.61</v>
      </c>
      <c r="Q56" s="166" t="n">
        <v>7.61</v>
      </c>
      <c r="R56" s="166" t="n">
        <v>0</v>
      </c>
      <c r="S56" s="175" t="n"/>
    </row>
    <row customFormat="1" customHeight="1" ht="15.75" r="57" s="153" thickBot="1">
      <c r="A57" s="179" t="n"/>
      <c r="I57" s="174" t="n"/>
      <c r="J57" s="175" t="n"/>
      <c r="K57" s="175" t="n"/>
      <c r="L57" s="176" t="n"/>
      <c r="M57" s="177" t="n"/>
      <c r="N57" s="172" t="inlineStr">
        <is>
          <t>Capacitancia shunt total</t>
        </is>
      </c>
      <c r="O57" s="342" t="n">
        <v>0</v>
      </c>
      <c r="P57" s="173" t="n">
        <v>-15.81</v>
      </c>
      <c r="Q57" s="173" t="n">
        <v>15.81</v>
      </c>
      <c r="R57" s="173" t="n">
        <v>0</v>
      </c>
      <c r="S57" s="175" t="n"/>
    </row>
    <row customFormat="1" customHeight="1" ht="15.75" r="58" s="153" thickBot="1">
      <c r="A58" s="179" t="n"/>
      <c r="I58" s="174" t="n"/>
      <c r="J58" s="175" t="n"/>
      <c r="K58" s="175" t="n"/>
      <c r="L58" s="176" t="n"/>
      <c r="M58" s="177" t="n"/>
      <c r="N58" s="171" t="inlineStr">
        <is>
          <t>Pérdidas en las líneas</t>
        </is>
      </c>
      <c r="O58" s="347" t="n">
        <v>49.86</v>
      </c>
      <c r="P58" s="166" t="n">
        <v>70.05</v>
      </c>
      <c r="Q58" s="166" t="n">
        <v>85.98999999999999</v>
      </c>
      <c r="R58" s="166" t="n">
        <v>57.99</v>
      </c>
      <c r="S58" s="175" t="n"/>
    </row>
    <row customFormat="1" customHeight="1" ht="15.75" r="59" s="153" thickBot="1">
      <c r="A59" s="179" t="n"/>
      <c r="I59" s="174" t="n"/>
      <c r="J59" s="175" t="n"/>
      <c r="K59" s="175" t="n"/>
      <c r="L59" s="176" t="n"/>
      <c r="M59" s="177" t="n"/>
      <c r="N59" s="171" t="inlineStr">
        <is>
          <t>Pérdidas en los cables</t>
        </is>
      </c>
      <c r="O59" s="347" t="n">
        <v>1.25</v>
      </c>
      <c r="P59" s="166" t="n">
        <v>1.03</v>
      </c>
      <c r="Q59" s="166" t="n">
        <v>1.62</v>
      </c>
      <c r="R59" s="166" t="n">
        <v>77.17</v>
      </c>
      <c r="S59" s="175" t="n"/>
    </row>
    <row customFormat="1" customHeight="1" ht="26.25" r="60" s="153" thickBot="1">
      <c r="A60" s="179" t="n"/>
      <c r="I60" s="174" t="n"/>
      <c r="J60" s="175" t="n"/>
      <c r="K60" s="175" t="n"/>
      <c r="L60" s="176" t="n"/>
      <c r="M60" s="177" t="n"/>
      <c r="N60" s="171" t="inlineStr">
        <is>
          <t>Pérdidas de carga del transformador</t>
        </is>
      </c>
      <c r="O60" s="347" t="n">
        <v>0</v>
      </c>
      <c r="P60" s="166" t="n">
        <v>0</v>
      </c>
      <c r="Q60" s="166" t="n">
        <v>0</v>
      </c>
      <c r="R60" s="166" t="n">
        <v>0</v>
      </c>
      <c r="S60" s="175" t="n"/>
    </row>
    <row customFormat="1" customHeight="1" ht="15.75" r="61" s="153" thickBot="1">
      <c r="A61" s="179" t="n"/>
      <c r="I61" s="174" t="n"/>
      <c r="J61" s="175" t="n"/>
      <c r="K61" s="175" t="n"/>
      <c r="L61" s="176" t="n"/>
      <c r="M61" s="177" t="n"/>
      <c r="N61" s="171" t="inlineStr">
        <is>
          <t>Pérdidas en vacío del transformador</t>
        </is>
      </c>
      <c r="O61" s="347" t="n">
        <v>0</v>
      </c>
      <c r="P61" s="166" t="n">
        <v>0</v>
      </c>
      <c r="Q61" s="166" t="n">
        <v>0</v>
      </c>
      <c r="R61" s="166" t="n">
        <v>0</v>
      </c>
      <c r="S61" s="175" t="n"/>
    </row>
    <row customFormat="1" customHeight="1" ht="15.75" r="62" s="153" thickBot="1">
      <c r="A62" s="179" t="n"/>
      <c r="I62" s="174" t="n"/>
      <c r="J62" s="175" t="n"/>
      <c r="K62" s="175" t="n"/>
      <c r="L62" s="176" t="n"/>
      <c r="M62" s="177" t="n"/>
      <c r="N62" s="172" t="inlineStr">
        <is>
          <t>Pérdidas totales</t>
        </is>
      </c>
      <c r="O62" s="342" t="n">
        <v>51.12</v>
      </c>
      <c r="P62" s="173" t="n">
        <v>71.09</v>
      </c>
      <c r="Q62" s="173" t="n">
        <v>87.56</v>
      </c>
      <c r="R62" s="173" t="n">
        <v>58.38</v>
      </c>
      <c r="S62" s="175" t="n"/>
    </row>
    <row customFormat="1" r="63" s="153">
      <c r="A63" s="179" t="n"/>
      <c r="I63" s="174" t="n"/>
      <c r="J63" s="175" t="n"/>
      <c r="K63" s="175" t="n"/>
      <c r="L63" s="176" t="n"/>
      <c r="M63" s="177" t="n"/>
      <c r="N63" s="175" t="n"/>
      <c r="O63" s="175" t="n"/>
      <c r="P63" s="175" t="n"/>
      <c r="Q63" s="175" t="n"/>
      <c r="R63" s="175" t="n"/>
      <c r="S63" s="175" t="n"/>
    </row>
    <row customFormat="1" r="64" s="153">
      <c r="A64" s="179" t="n"/>
      <c r="I64" s="174" t="n"/>
      <c r="J64" s="175" t="n"/>
      <c r="K64" s="175" t="n"/>
      <c r="L64" s="176" t="n"/>
      <c r="M64" s="177" t="n"/>
      <c r="N64" s="175" t="n"/>
      <c r="O64" s="175" t="n"/>
      <c r="P64" s="175" t="n"/>
      <c r="Q64" s="175" t="n"/>
      <c r="R64" s="175" t="n"/>
      <c r="S64" s="175" t="n"/>
    </row>
    <row customFormat="1" r="65" s="153">
      <c r="A65" s="179" t="n"/>
      <c r="I65" s="174" t="n"/>
      <c r="J65" s="175" t="n"/>
      <c r="K65" s="175" t="n"/>
      <c r="L65" s="176" t="n"/>
      <c r="M65" s="177" t="n"/>
      <c r="N65" s="175" t="n"/>
      <c r="O65" s="175" t="n"/>
      <c r="P65" s="175" t="n"/>
      <c r="Q65" s="175" t="n"/>
      <c r="R65" s="175" t="n"/>
      <c r="S65" s="175" t="n"/>
    </row>
    <row customFormat="1" r="66" s="153">
      <c r="A66" s="617" t="n"/>
      <c r="C66" s="617" t="n"/>
    </row>
    <row customFormat="1" r="67" s="355">
      <c r="A67" s="618" t="n"/>
      <c r="C67" s="618" t="n"/>
    </row>
    <row customFormat="1" r="68" s="359">
      <c r="H68" s="360" t="n"/>
      <c r="I68" s="361" t="n"/>
      <c r="J68" s="361" t="n"/>
      <c r="K68" s="362" t="n"/>
      <c r="L68" s="363" t="n"/>
      <c r="N68" s="360" t="n"/>
      <c r="O68" s="360" t="n"/>
      <c r="P68" s="360" t="n"/>
      <c r="Q68" s="360" t="n"/>
      <c r="R68" s="360" t="n"/>
    </row>
    <row customFormat="1" r="69" s="359">
      <c r="H69" s="360" t="n"/>
      <c r="I69" s="361" t="n"/>
      <c r="J69" s="361" t="n"/>
      <c r="K69" s="362" t="n"/>
      <c r="L69" s="363" t="n"/>
      <c r="N69" s="360" t="n"/>
      <c r="O69" s="360" t="n"/>
      <c r="P69" s="360" t="n"/>
      <c r="Q69" s="360" t="n"/>
      <c r="R69" s="360" t="n"/>
    </row>
    <row customFormat="1" r="70" s="359">
      <c r="H70" s="360" t="n"/>
      <c r="I70" s="361" t="n"/>
      <c r="J70" s="361" t="n"/>
      <c r="K70" s="362" t="n"/>
      <c r="L70" s="363" t="n"/>
      <c r="N70" s="360" t="n"/>
      <c r="O70" s="360" t="n"/>
      <c r="P70" s="360" t="n"/>
      <c r="Q70" s="360" t="n"/>
      <c r="R70" s="360" t="n"/>
    </row>
  </sheetData>
  <mergeCells count="3">
    <mergeCell ref="A1:J1"/>
    <mergeCell ref="A2:E2"/>
    <mergeCell ref="B34:F34"/>
  </mergeCells>
  <pageMargins bottom="0.75" footer="0.3" header="0.3" left="0.7" right="0.7" top="0.75"/>
  <pageSetup orientation="portrait" paperSize="9"/>
  <headerFooter>
    <oddHeader>&amp;L&amp;"Calibri"&amp;1 &amp;K000000 Información Pública#_x000d_</oddHeader>
    <oddFooter/>
    <evenHeader/>
    <evenFooter/>
    <firstHeader/>
    <firstFooter/>
  </headerFooter>
  <drawing r:id="rId1"/>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B2:AC15"/>
  <sheetViews>
    <sheetView topLeftCell="I1" workbookViewId="0" zoomScale="70" zoomScaleNormal="70">
      <selection activeCell="R16" sqref="R16"/>
    </sheetView>
  </sheetViews>
  <sheetFormatPr baseColWidth="10" defaultColWidth="11.42578125" defaultRowHeight="15"/>
  <cols>
    <col customWidth="1" max="1" min="1" width="8.42578125"/>
    <col customWidth="1" max="2" min="2" width="34.5703125"/>
    <col customWidth="1" hidden="1" max="3" min="3" width="17.85546875"/>
    <col customWidth="1" max="4" min="4" width="40.5703125"/>
    <col customWidth="1" max="8" min="5" width="16.5703125"/>
    <col customWidth="1" max="9" min="9" width="38.42578125"/>
    <col customWidth="1" max="10" min="10" width="6.42578125"/>
    <col customWidth="1" max="12" min="11" width="19.5703125"/>
    <col customWidth="1" max="13" min="13" width="23.42578125"/>
    <col customWidth="1" hidden="1" max="14" min="14" width="12.42578125"/>
    <col customWidth="1" max="15" min="15" width="12.42578125"/>
    <col customWidth="1" max="17" min="16" width="16.85546875"/>
    <col customWidth="1" max="18" min="18" width="15"/>
    <col customWidth="1" max="19" min="19" width="8.85546875"/>
    <col customWidth="1" max="20" min="20" width="22.5703125"/>
    <col customWidth="1" max="21" min="21" style="28" width="5.42578125"/>
    <col customWidth="1" max="22" min="22" width="10.140625"/>
    <col customWidth="1" max="23" min="23" width="10.42578125"/>
    <col bestFit="1" customWidth="1" max="24" min="24" width="10.5703125"/>
    <col customWidth="1" max="25" min="25" width="4"/>
    <col customWidth="1" max="27" min="27" width="6"/>
    <col customWidth="1" max="29" min="29" width="4.140625"/>
  </cols>
  <sheetData>
    <row customHeight="1" ht="6.75" r="1"/>
    <row customHeight="1" ht="33" r="2">
      <c r="D2" s="509">
        <f>CONCATENATE("CALCULO DE CARGAS, PERDIDAS Y VARIACION DE TENSION EN ",Informe!C8)</f>
        <v/>
      </c>
      <c r="O2" s="29" t="n"/>
      <c r="Q2" s="152" t="inlineStr">
        <is>
          <t>TENSION DE DESPACHO KV</t>
        </is>
      </c>
      <c r="R2" s="130">
        <f>'Resultados de escenarios'!D5</f>
        <v/>
      </c>
      <c r="S2" s="131" t="n"/>
      <c r="T2" s="134" t="n"/>
      <c r="AC2" s="29" t="n"/>
    </row>
    <row customHeight="1" ht="6.75" r="3">
      <c r="E3" s="1" t="n"/>
      <c r="O3" s="29" t="n"/>
      <c r="AC3" s="29" t="n"/>
    </row>
    <row customHeight="1" ht="48.75" r="4">
      <c r="D4" s="30" t="n"/>
      <c r="E4" s="619" t="inlineStr">
        <is>
          <t>CARGA DE LINEA AEREA</t>
        </is>
      </c>
      <c r="F4" s="619" t="inlineStr">
        <is>
          <t>PERDIDAS
(KW)</t>
        </is>
      </c>
      <c r="G4" s="619" t="inlineStr">
        <is>
          <t>PERDIDAS
(%)</t>
        </is>
      </c>
      <c r="H4" s="619" t="inlineStr">
        <is>
          <t>CAIDA DE TENSION</t>
        </is>
      </c>
      <c r="I4" s="619" t="inlineStr">
        <is>
          <t>COMENTARIOS</t>
        </is>
      </c>
      <c r="O4" s="29" t="n"/>
      <c r="P4" s="131" t="inlineStr">
        <is>
          <t>CAPACIDAD DISPONIBLE EN LINEA</t>
        </is>
      </c>
      <c r="Q4" s="131" t="inlineStr">
        <is>
          <t>CAPACIDAD DE LINEA (A) AEREA</t>
        </is>
      </c>
      <c r="R4" s="131" t="inlineStr">
        <is>
          <t>CORRIENTE ACT.  (A)</t>
        </is>
      </c>
      <c r="S4" s="131" t="n"/>
      <c r="T4" s="131" t="inlineStr">
        <is>
          <t>POTENCIA ACTUAL
kW</t>
        </is>
      </c>
      <c r="U4" s="31" t="n"/>
      <c r="AC4" s="29" t="n"/>
    </row>
    <row customHeight="1" ht="22.5" r="5">
      <c r="D5" s="30" t="n"/>
      <c r="E5" s="620" t="n"/>
      <c r="F5" s="620" t="n"/>
      <c r="G5" s="620" t="n"/>
      <c r="H5" s="620" t="n"/>
      <c r="I5" s="620" t="n"/>
      <c r="O5" s="29" t="n"/>
      <c r="Q5" s="126" t="n"/>
      <c r="R5" s="128" t="n"/>
      <c r="S5" s="31" t="n"/>
      <c r="T5" s="31" t="n"/>
      <c r="U5" s="31" t="n"/>
      <c r="AC5" s="29" t="n"/>
    </row>
    <row customHeight="1" ht="41.45" r="6">
      <c r="D6" s="423">
        <f>CONCATENATE("ESTADO ACTUAL - ",Informe!C8)</f>
        <v/>
      </c>
      <c r="E6" s="400">
        <f>+R6/Q6</f>
        <v/>
      </c>
      <c r="F6" s="424">
        <f>+'Resultados de escenarios'!O28</f>
        <v/>
      </c>
      <c r="G6" s="425">
        <f>+F6/T6</f>
        <v/>
      </c>
      <c r="H6" s="425">
        <f>1-(MIN(Informe!C37:C39))</f>
        <v/>
      </c>
      <c r="I6" s="426" t="inlineStr">
        <is>
          <t>Condición actual.</t>
        </is>
      </c>
      <c r="M6">
        <f>340*2</f>
        <v/>
      </c>
      <c r="O6" s="29" t="n"/>
      <c r="P6" s="32">
        <f>+Q6-R6</f>
        <v/>
      </c>
      <c r="Q6" s="109" t="n">
        <v>240</v>
      </c>
      <c r="R6" s="32">
        <f>'Resultados de escenarios'!F5</f>
        <v/>
      </c>
      <c r="S6" s="32" t="n"/>
      <c r="T6" s="135" t="n">
        <v>270</v>
      </c>
      <c r="U6" s="127" t="n"/>
      <c r="AC6" s="29" t="n"/>
    </row>
    <row customHeight="1" ht="9.75" r="7"/>
    <row customHeight="1" ht="9.75" r="8">
      <c r="C8" s="125" t="n"/>
      <c r="D8" s="180" t="n"/>
      <c r="E8" s="181" t="n"/>
      <c r="F8" s="180" t="n"/>
      <c r="G8" s="180" t="n"/>
      <c r="H8" s="180" t="n"/>
      <c r="I8" s="180" t="n"/>
      <c r="J8" s="180" t="n"/>
      <c r="K8" s="180" t="n"/>
      <c r="L8" s="180" t="n"/>
      <c r="M8" s="180" t="n"/>
      <c r="N8" s="180" t="n"/>
      <c r="O8" s="180" t="n"/>
      <c r="P8" s="180" t="n"/>
      <c r="Q8" s="180" t="n"/>
      <c r="R8" s="180" t="n"/>
      <c r="S8" s="180" t="n"/>
      <c r="T8" s="180" t="n"/>
    </row>
    <row customHeight="1" ht="9.75" r="9"/>
    <row customHeight="1" ht="56.25" r="10">
      <c r="B10" s="33" t="inlineStr">
        <is>
          <t>ESCENARIO PROYECTADO :</t>
        </is>
      </c>
      <c r="D10" s="30" t="n"/>
      <c r="E10" s="619" t="inlineStr">
        <is>
          <t>CARGA DE LINEA AEREA</t>
        </is>
      </c>
      <c r="F10" s="619" t="inlineStr">
        <is>
          <t>PERDIDAS
(KW)</t>
        </is>
      </c>
      <c r="G10" s="619" t="inlineStr">
        <is>
          <t>PERDIDAS
(%)</t>
        </is>
      </c>
      <c r="H10" s="619" t="inlineStr">
        <is>
          <t>CAIDA DE TENSION</t>
        </is>
      </c>
      <c r="I10" s="619" t="inlineStr">
        <is>
          <t>COMENTARIOS</t>
        </is>
      </c>
      <c r="K10" s="427" t="inlineStr">
        <is>
          <t>INCREMENTO DE PERDIDAS EN TA123 POR CONEXIÓN DE CARGA SOLICITADA</t>
        </is>
      </c>
      <c r="L10" s="615" t="n"/>
      <c r="M10" s="621" t="inlineStr">
        <is>
          <t>PERDIDAS RESPECTO A LA DEMANDA SOL.
(%)</t>
        </is>
      </c>
      <c r="O10" s="29" t="n"/>
      <c r="P10" s="131" t="inlineStr">
        <is>
          <t>CAPACIDAD DISPONIBLE EN LINEA</t>
        </is>
      </c>
      <c r="Q10" s="131" t="inlineStr">
        <is>
          <t>CAPACIDAD DE LINEA (A) AEREA</t>
        </is>
      </c>
      <c r="R10" s="131" t="inlineStr">
        <is>
          <t>CORRIENTE PROY (A)</t>
        </is>
      </c>
      <c r="S10" s="131" t="n"/>
      <c r="T10" s="131" t="inlineStr">
        <is>
          <t>POTENCIA PROY
kW</t>
        </is>
      </c>
      <c r="U10" s="32" t="n"/>
      <c r="AC10" s="29" t="n"/>
    </row>
    <row customHeight="1" ht="21.75" r="11">
      <c r="B11" t="inlineStr">
        <is>
          <t>Demanda solicitada (KW)</t>
        </is>
      </c>
      <c r="D11" s="30" t="n"/>
      <c r="E11" s="620" t="n"/>
      <c r="F11" s="620" t="n"/>
      <c r="G11" s="620" t="n"/>
      <c r="H11" s="620" t="n"/>
      <c r="I11" s="620" t="n"/>
      <c r="K11" s="427" t="inlineStr">
        <is>
          <t>(KW)</t>
        </is>
      </c>
      <c r="L11" s="427" t="inlineStr">
        <is>
          <t>(%)</t>
        </is>
      </c>
      <c r="M11" s="620" t="n"/>
      <c r="O11" s="29" t="n"/>
      <c r="Q11" s="126" t="n"/>
      <c r="R11" s="129" t="n"/>
      <c r="S11" s="31" t="n"/>
      <c r="T11" s="31" t="n"/>
      <c r="U11" s="32" t="n"/>
      <c r="AC11" s="29" t="n"/>
    </row>
    <row customHeight="1" ht="37.5" r="12">
      <c r="B12" s="386">
        <f>+T12-T6</f>
        <v/>
      </c>
      <c r="D12" s="428">
        <f>CONCATENATE("ESTADO CON CARGA PROYECTADA - ",Informe!C8)</f>
        <v/>
      </c>
      <c r="E12" s="429">
        <f>+R12/Q12</f>
        <v/>
      </c>
      <c r="F12" s="430">
        <f>+'Resultados de escenarios'!O62</f>
        <v/>
      </c>
      <c r="G12" s="431">
        <f>+F12/T12</f>
        <v/>
      </c>
      <c r="H12" s="425">
        <f>1-(MIN(Informe!C112:C114))</f>
        <v/>
      </c>
      <c r="I12" s="426" t="inlineStr">
        <is>
          <t>Situción con demanda proyectada.</t>
        </is>
      </c>
      <c r="J12" s="132" t="n"/>
      <c r="K12" s="424">
        <f>+F12-$F$6</f>
        <v/>
      </c>
      <c r="L12" s="425">
        <f>+K12/F12</f>
        <v/>
      </c>
      <c r="M12" s="425">
        <f>+K12/B12</f>
        <v/>
      </c>
      <c r="O12" s="29" t="n"/>
      <c r="P12" s="32">
        <f>+Q12-R12</f>
        <v/>
      </c>
      <c r="Q12" s="109" t="n">
        <v>240</v>
      </c>
      <c r="R12" s="32">
        <f>'Resultados de escenarios'!F39</f>
        <v/>
      </c>
      <c r="S12" s="32" t="n"/>
      <c r="T12" s="135" t="n">
        <v>318.78</v>
      </c>
      <c r="U12" s="127" t="n"/>
      <c r="V12" s="127" t="n"/>
      <c r="AC12" s="29" t="n"/>
    </row>
    <row customHeight="1" ht="13.5" r="13">
      <c r="H13" s="136" t="n"/>
    </row>
    <row customFormat="1" customHeight="1" ht="11.25" r="14" s="28"/>
    <row customFormat="1" customHeight="1" ht="18.75" r="15" s="28">
      <c r="F15" s="34" t="n"/>
      <c r="K15" s="34" t="n"/>
      <c r="L15" s="35" t="n"/>
      <c r="M15" s="36" t="n"/>
    </row>
  </sheetData>
  <mergeCells count="13">
    <mergeCell ref="K10:L10"/>
    <mergeCell ref="M10:M11"/>
    <mergeCell ref="D2:I2"/>
    <mergeCell ref="E4:E5"/>
    <mergeCell ref="F4:F5"/>
    <mergeCell ref="G4:G5"/>
    <mergeCell ref="H4:H5"/>
    <mergeCell ref="I4:I5"/>
    <mergeCell ref="E10:E11"/>
    <mergeCell ref="F10:F11"/>
    <mergeCell ref="G10:G11"/>
    <mergeCell ref="H10:H11"/>
    <mergeCell ref="I10:I11"/>
  </mergeCells>
  <pageMargins bottom="0.75" footer="0.3" header="0.3" left="0.7" right="0.7" top="0.75"/>
  <pageSetup orientation="portrait" paperSize="9"/>
  <headerFooter>
    <oddHeader>&amp;L&amp;"Calibri"&amp;1 &amp;K000000 Información Pública#_x000d_</oddHeader>
    <oddFooter/>
    <evenHeader/>
    <evenFooter/>
    <firstHeader/>
    <firstFooter/>
  </headerFooter>
  <legacyDrawing r:id="anysvml"/>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V105"/>
  <sheetViews>
    <sheetView showGridLines="0" topLeftCell="G72" view="pageBreakPreview" workbookViewId="0" zoomScaleSheetLayoutView="100">
      <selection activeCell="U88" sqref="U88:V88"/>
    </sheetView>
  </sheetViews>
  <sheetFormatPr baseColWidth="10" defaultColWidth="11.42578125" defaultRowHeight="12.75"/>
  <cols>
    <col customWidth="1" max="1" min="1" style="37" width="2.140625"/>
    <col bestFit="1" customWidth="1" max="2" min="2" style="37" width="3.42578125"/>
    <col customWidth="1" max="3" min="3" style="37" width="9.5703125"/>
    <col customWidth="1" max="4" min="4" style="37" width="12.85546875"/>
    <col customWidth="1" max="5" min="5" style="37" width="23.85546875"/>
    <col customWidth="1" max="6" min="6" style="37" width="15.42578125"/>
    <col bestFit="1" customWidth="1" max="7" min="7" style="37" width="15.5703125"/>
    <col bestFit="1" customWidth="1" max="8" min="8" style="37" width="11.140625"/>
    <col bestFit="1" customWidth="1" max="9" min="9" style="37" width="19.85546875"/>
    <col customWidth="1" hidden="1" max="11" min="10" style="37" width="15.5703125"/>
    <col customWidth="1" hidden="1" max="13" min="12" style="37" width="15"/>
    <col customWidth="1" hidden="1" max="14" min="14" style="37" width="22.140625"/>
    <col customWidth="1" hidden="1" max="15" min="15" style="37" width="15.140625"/>
    <col customWidth="1" hidden="1" max="16" min="16" style="37" width="16.5703125"/>
    <col customWidth="1" max="18" min="17" style="37" width="17"/>
    <col customWidth="1" max="19" min="19" style="37" width="18.140625"/>
    <col bestFit="1" customWidth="1" max="20" min="20" style="37" width="14.5703125"/>
    <col customWidth="1" max="21" min="21" style="37" width="14.85546875"/>
    <col customWidth="1" max="22" min="22" style="37" width="14.5703125"/>
    <col customWidth="1" max="16384" min="23" style="37" width="11.42578125"/>
  </cols>
  <sheetData>
    <row customHeight="1" ht="9.75" r="1">
      <c r="A1" s="182" t="n"/>
      <c r="D1" s="183" t="n"/>
      <c r="E1" s="183" t="n"/>
      <c r="F1" s="183" t="n"/>
      <c r="G1" s="183" t="n"/>
    </row>
    <row r="2">
      <c r="A2" s="182" t="n"/>
      <c r="D2" s="512" t="inlineStr">
        <is>
          <t>SISTEMAS ELECTRICOS ELECTRODUNAS</t>
        </is>
      </c>
    </row>
    <row customHeight="1" ht="9" r="3" thickBot="1">
      <c r="A3" s="182" t="n"/>
      <c r="D3" s="77" t="n"/>
    </row>
    <row customHeight="1" ht="19.5" r="4">
      <c r="A4" s="182" t="n"/>
      <c r="D4" s="513" t="inlineStr">
        <is>
          <t>Codigo Sist. Elect.</t>
        </is>
      </c>
      <c r="E4" s="513" t="inlineStr">
        <is>
          <t>Nombre Sist. Elect.</t>
        </is>
      </c>
      <c r="F4" s="513" t="inlineStr">
        <is>
          <t>Sector Tipico
Resol 205-2018
OSINERG</t>
        </is>
      </c>
      <c r="G4" s="513" t="inlineStr">
        <is>
          <t>Codigo 
SET</t>
        </is>
      </c>
      <c r="H4" s="513" t="inlineStr">
        <is>
          <t>Codigo VNR
Alimentador</t>
        </is>
      </c>
      <c r="I4" s="513" t="inlineStr">
        <is>
          <t>OBSERVACION</t>
        </is>
      </c>
      <c r="J4" s="515" t="n"/>
    </row>
    <row customHeight="1" ht="19.5" r="5" thickBot="1">
      <c r="A5" s="182" t="n"/>
      <c r="D5" s="622" t="n"/>
      <c r="E5" s="622" t="n"/>
      <c r="F5" s="622" t="n"/>
      <c r="G5" s="622" t="n"/>
      <c r="H5" s="622" t="n"/>
      <c r="I5" s="622" t="n"/>
      <c r="J5" s="184" t="inlineStr">
        <is>
          <t>22/01/2019_IGEA</t>
        </is>
      </c>
      <c r="K5" s="184" t="inlineStr">
        <is>
          <t>26/04/2019_IGEA</t>
        </is>
      </c>
      <c r="L5" s="184" t="inlineStr">
        <is>
          <t>11/07/2019_VNR</t>
        </is>
      </c>
      <c r="M5" s="184" t="inlineStr">
        <is>
          <t>04/02/2020_VNR</t>
        </is>
      </c>
      <c r="N5" s="184" t="inlineStr">
        <is>
          <t>28/02/2020_VNR &amp; IGEA</t>
        </is>
      </c>
      <c r="O5" s="184" t="inlineStr">
        <is>
          <t>21/05/2020_SGN</t>
        </is>
      </c>
      <c r="P5" s="184" t="inlineStr">
        <is>
          <t>Junio/2020_SGN</t>
        </is>
      </c>
      <c r="Q5" s="184" t="inlineStr">
        <is>
          <t>24/11/2020_VNR</t>
        </is>
      </c>
      <c r="R5" s="184" t="inlineStr">
        <is>
          <t>08/03/2021_IGEA</t>
        </is>
      </c>
      <c r="S5" s="184" t="inlineStr">
        <is>
          <t>07/10/2021_VNR</t>
        </is>
      </c>
      <c r="T5" s="184" t="inlineStr">
        <is>
          <t>28/02/2022_VNR</t>
        </is>
      </c>
      <c r="U5" s="184" t="inlineStr">
        <is>
          <t>16/08/2022_VNR</t>
        </is>
      </c>
      <c r="V5" s="184" t="inlineStr">
        <is>
          <t>03/01/2023_VNR</t>
        </is>
      </c>
    </row>
    <row customHeight="1" ht="12.75" r="6" thickTop="1">
      <c r="A6" s="182" t="n"/>
      <c r="B6" s="533" t="inlineStr">
        <is>
          <t>CHINCHA</t>
        </is>
      </c>
      <c r="C6" s="186" t="inlineStr">
        <is>
          <t>CA101</t>
        </is>
      </c>
      <c r="D6" s="185" t="inlineStr">
        <is>
          <t>SE1043</t>
        </is>
      </c>
      <c r="E6" s="185" t="inlineStr">
        <is>
          <t>Chincha Baja Densidad</t>
        </is>
      </c>
      <c r="F6" s="185" t="n">
        <v>2</v>
      </c>
      <c r="G6" s="520" t="inlineStr">
        <is>
          <t>SET 21 
EL CARMEN</t>
        </is>
      </c>
      <c r="H6" s="186" t="inlineStr">
        <is>
          <t>CA101</t>
        </is>
      </c>
      <c r="I6" s="187" t="inlineStr">
        <is>
          <t>EN SERVICIO</t>
        </is>
      </c>
      <c r="J6" s="188" t="n">
        <v>3087</v>
      </c>
      <c r="K6" s="188" t="n">
        <v>3108</v>
      </c>
      <c r="L6" s="188" t="n">
        <v>3092</v>
      </c>
      <c r="M6" s="188" t="n">
        <v>3138</v>
      </c>
      <c r="N6" s="188" t="n">
        <v>3145</v>
      </c>
      <c r="O6" s="188" t="n">
        <v>3129</v>
      </c>
      <c r="P6" s="188" t="n">
        <v>3138</v>
      </c>
      <c r="Q6" s="188" t="n">
        <v>3176</v>
      </c>
      <c r="R6" s="188" t="n">
        <v>3204</v>
      </c>
      <c r="S6" s="188" t="n">
        <v>3246</v>
      </c>
      <c r="T6" s="188" t="n">
        <v>3260</v>
      </c>
      <c r="U6" s="188" t="n">
        <v>3275</v>
      </c>
      <c r="V6" s="189" t="n">
        <v>3268</v>
      </c>
    </row>
    <row r="7">
      <c r="A7" s="182" t="n"/>
      <c r="B7" s="623" t="n"/>
      <c r="C7" s="190" t="inlineStr">
        <is>
          <t>CA103</t>
        </is>
      </c>
      <c r="D7" s="185" t="inlineStr">
        <is>
          <t>SE1043</t>
        </is>
      </c>
      <c r="E7" s="185" t="inlineStr">
        <is>
          <t>Chincha Baja Densidad</t>
        </is>
      </c>
      <c r="F7" s="185" t="n">
        <v>2</v>
      </c>
      <c r="G7" s="624" t="n"/>
      <c r="H7" s="190" t="inlineStr">
        <is>
          <t>CA103</t>
        </is>
      </c>
      <c r="I7" s="187" t="inlineStr">
        <is>
          <t>FUERA DE SERVICIO</t>
        </is>
      </c>
      <c r="J7" s="188" t="n"/>
      <c r="K7" s="188" t="n"/>
      <c r="L7" s="188" t="n"/>
      <c r="M7" s="188" t="n"/>
      <c r="N7" s="188" t="n"/>
      <c r="O7" s="188" t="n"/>
      <c r="P7" s="188" t="n"/>
      <c r="Q7" s="188" t="n"/>
      <c r="R7" s="188" t="n"/>
      <c r="S7" s="188" t="n"/>
      <c r="T7" s="188" t="n"/>
      <c r="U7" s="188" t="n"/>
      <c r="V7" s="189" t="n"/>
    </row>
    <row r="8">
      <c r="A8" s="182" t="n"/>
      <c r="B8" s="623" t="n"/>
      <c r="C8" s="190" t="inlineStr">
        <is>
          <t>CA104</t>
        </is>
      </c>
      <c r="D8" s="185" t="inlineStr">
        <is>
          <t>SE1043</t>
        </is>
      </c>
      <c r="E8" s="185" t="inlineStr">
        <is>
          <t>Chincha Baja Densidad</t>
        </is>
      </c>
      <c r="F8" s="185" t="n">
        <v>2</v>
      </c>
      <c r="G8" s="624" t="n"/>
      <c r="H8" s="190" t="inlineStr">
        <is>
          <t>CA104</t>
        </is>
      </c>
      <c r="I8" s="191" t="inlineStr">
        <is>
          <t>EN SERVICIO</t>
        </is>
      </c>
      <c r="J8" s="188" t="n">
        <v>37</v>
      </c>
      <c r="K8" s="188" t="n">
        <v>37</v>
      </c>
      <c r="L8" s="188" t="n">
        <v>37</v>
      </c>
      <c r="M8" s="188" t="n">
        <v>35</v>
      </c>
      <c r="N8" s="188" t="n">
        <v>35</v>
      </c>
      <c r="O8" s="188" t="n">
        <v>35</v>
      </c>
      <c r="P8" s="188" t="n">
        <v>35</v>
      </c>
      <c r="Q8" s="188" t="n">
        <v>34</v>
      </c>
      <c r="R8" s="188" t="n">
        <v>34</v>
      </c>
      <c r="S8" s="188" t="n">
        <v>34</v>
      </c>
      <c r="T8" s="188" t="n">
        <v>34</v>
      </c>
      <c r="U8" s="188" t="n">
        <v>34</v>
      </c>
      <c r="V8" s="189" t="n">
        <v>34</v>
      </c>
    </row>
    <row r="9">
      <c r="A9" s="182" t="n"/>
      <c r="B9" s="623" t="n"/>
      <c r="C9" s="190" t="inlineStr">
        <is>
          <t>CA105</t>
        </is>
      </c>
      <c r="D9" s="185" t="inlineStr">
        <is>
          <t>SE1043</t>
        </is>
      </c>
      <c r="E9" s="185" t="inlineStr">
        <is>
          <t>Chincha Baja Densidad</t>
        </is>
      </c>
      <c r="F9" s="185" t="n">
        <v>2</v>
      </c>
      <c r="G9" s="624" t="n"/>
      <c r="H9" s="190" t="inlineStr">
        <is>
          <t>CA105</t>
        </is>
      </c>
      <c r="I9" s="192" t="inlineStr">
        <is>
          <t>EN SERVICIO</t>
        </is>
      </c>
      <c r="J9" s="188" t="n">
        <v>516</v>
      </c>
      <c r="K9" s="188" t="n">
        <v>518</v>
      </c>
      <c r="L9" s="188" t="n">
        <v>515</v>
      </c>
      <c r="M9" s="188" t="n">
        <v>511</v>
      </c>
      <c r="N9" s="188" t="n">
        <v>511</v>
      </c>
      <c r="O9" s="188" t="n">
        <v>510</v>
      </c>
      <c r="P9" s="188" t="n">
        <v>510</v>
      </c>
      <c r="Q9" s="188" t="n">
        <v>512</v>
      </c>
      <c r="R9" s="188" t="n">
        <v>514</v>
      </c>
      <c r="S9" s="188" t="n">
        <v>519</v>
      </c>
      <c r="T9" s="188" t="n">
        <v>524</v>
      </c>
      <c r="U9" s="188" t="n">
        <v>485</v>
      </c>
      <c r="V9" s="189" t="n">
        <v>476</v>
      </c>
    </row>
    <row customHeight="1" ht="13.5" r="10" thickBot="1">
      <c r="A10" s="182" t="n"/>
      <c r="B10" s="623" t="n"/>
      <c r="C10" s="196" t="inlineStr">
        <is>
          <t>CA206</t>
        </is>
      </c>
      <c r="D10" s="193" t="inlineStr">
        <is>
          <t>SE1043</t>
        </is>
      </c>
      <c r="E10" s="194" t="inlineStr">
        <is>
          <t>Chincha Baja Densidad</t>
        </is>
      </c>
      <c r="F10" s="195" t="n">
        <v>2</v>
      </c>
      <c r="G10" s="625" t="n"/>
      <c r="H10" s="196" t="inlineStr">
        <is>
          <t>CA206</t>
        </is>
      </c>
      <c r="I10" s="197" t="inlineStr">
        <is>
          <t>EN SERVICIO</t>
        </is>
      </c>
      <c r="J10" s="198" t="n">
        <v>516</v>
      </c>
      <c r="K10" s="198" t="n">
        <v>518</v>
      </c>
      <c r="L10" s="198" t="n">
        <v>515</v>
      </c>
      <c r="M10" s="198" t="n">
        <v>511</v>
      </c>
      <c r="N10" s="198" t="n">
        <v>511</v>
      </c>
      <c r="O10" s="198" t="n">
        <v>510</v>
      </c>
      <c r="P10" s="198" t="n"/>
      <c r="Q10" s="198" t="n"/>
      <c r="R10" s="198" t="n"/>
      <c r="S10" s="198" t="n"/>
      <c r="T10" s="198" t="n"/>
      <c r="U10" s="198" t="n">
        <v>38</v>
      </c>
      <c r="V10" s="199" t="n">
        <v>39</v>
      </c>
    </row>
    <row customHeight="1" ht="13.5" r="11" thickTop="1">
      <c r="A11" s="182" t="n"/>
      <c r="B11" s="623" t="n"/>
      <c r="C11" s="201" t="inlineStr">
        <is>
          <t>TM101</t>
        </is>
      </c>
      <c r="D11" s="200" t="inlineStr">
        <is>
          <t>SE1043</t>
        </is>
      </c>
      <c r="E11" s="200" t="inlineStr">
        <is>
          <t>Chincha Baja Densidad</t>
        </is>
      </c>
      <c r="F11" s="200" t="n">
        <v>2</v>
      </c>
      <c r="G11" s="523" t="inlineStr">
        <is>
          <t>SET 22
TAMBO DE MORA</t>
        </is>
      </c>
      <c r="H11" s="201" t="inlineStr">
        <is>
          <t>TM101</t>
        </is>
      </c>
      <c r="I11" s="202" t="inlineStr">
        <is>
          <t>FUERA DE SERVICIO</t>
        </is>
      </c>
      <c r="J11" s="188" t="n"/>
      <c r="K11" s="188" t="n"/>
      <c r="L11" s="188" t="n"/>
      <c r="M11" s="188" t="n"/>
      <c r="N11" s="188" t="n"/>
      <c r="O11" s="188" t="n"/>
      <c r="P11" s="188" t="n"/>
      <c r="Q11" s="188" t="n"/>
      <c r="R11" s="188" t="n"/>
      <c r="S11" s="188" t="n"/>
      <c r="T11" s="188" t="n"/>
      <c r="U11" s="188" t="n"/>
      <c r="V11" s="189" t="n"/>
    </row>
    <row r="12">
      <c r="A12" s="182" t="n"/>
      <c r="B12" s="623" t="n"/>
      <c r="C12" s="203" t="inlineStr">
        <is>
          <t>TM102</t>
        </is>
      </c>
      <c r="D12" s="185" t="inlineStr">
        <is>
          <t>SE1043</t>
        </is>
      </c>
      <c r="E12" s="185" t="inlineStr">
        <is>
          <t>Chincha Baja Densidad</t>
        </is>
      </c>
      <c r="F12" s="185" t="n">
        <v>2</v>
      </c>
      <c r="G12" s="626" t="n"/>
      <c r="H12" s="203" t="inlineStr">
        <is>
          <t>TM102</t>
        </is>
      </c>
      <c r="I12" s="204" t="inlineStr">
        <is>
          <t>EN SERVICIO</t>
        </is>
      </c>
      <c r="J12" s="188" t="n">
        <v>326</v>
      </c>
      <c r="K12" s="188" t="n">
        <v>327</v>
      </c>
      <c r="L12" s="188" t="n">
        <v>324</v>
      </c>
      <c r="M12" s="188" t="n">
        <v>325</v>
      </c>
      <c r="N12" s="188" t="n">
        <v>325</v>
      </c>
      <c r="O12" s="188" t="n">
        <v>324</v>
      </c>
      <c r="P12" s="188" t="n">
        <v>324</v>
      </c>
      <c r="Q12" s="188" t="n">
        <v>331</v>
      </c>
      <c r="R12" s="188" t="n">
        <v>330</v>
      </c>
      <c r="S12" s="188" t="n">
        <v>327</v>
      </c>
      <c r="T12" s="188" t="n">
        <v>329</v>
      </c>
      <c r="U12" s="188" t="n">
        <v>331</v>
      </c>
      <c r="V12" s="189" t="n">
        <v>319</v>
      </c>
    </row>
    <row r="13">
      <c r="A13" s="182" t="n"/>
      <c r="B13" s="623" t="n"/>
      <c r="C13" s="203" t="inlineStr">
        <is>
          <t>TM103</t>
        </is>
      </c>
      <c r="D13" s="185" t="inlineStr">
        <is>
          <t>SE1043</t>
        </is>
      </c>
      <c r="E13" s="185" t="inlineStr">
        <is>
          <t>Chincha Baja Densidad</t>
        </is>
      </c>
      <c r="F13" s="185" t="n">
        <v>2</v>
      </c>
      <c r="G13" s="626" t="n"/>
      <c r="H13" s="203" t="inlineStr">
        <is>
          <t>TM103</t>
        </is>
      </c>
      <c r="I13" s="204" t="inlineStr">
        <is>
          <t>EN SERVICIO</t>
        </is>
      </c>
      <c r="J13" s="188" t="n">
        <v>2</v>
      </c>
      <c r="K13" s="188" t="n">
        <v>2</v>
      </c>
      <c r="L13" s="188" t="n">
        <v>2</v>
      </c>
      <c r="M13" s="188" t="n">
        <v>2</v>
      </c>
      <c r="N13" s="188" t="n">
        <v>2</v>
      </c>
      <c r="O13" s="188" t="n">
        <v>2</v>
      </c>
      <c r="P13" s="188" t="n">
        <v>2</v>
      </c>
      <c r="Q13" s="188" t="n">
        <v>2</v>
      </c>
      <c r="R13" s="188" t="n">
        <v>2</v>
      </c>
      <c r="S13" s="188" t="n">
        <v>2</v>
      </c>
      <c r="T13" s="188" t="n">
        <v>2</v>
      </c>
      <c r="U13" s="188" t="n">
        <v>2</v>
      </c>
      <c r="V13" s="189" t="n">
        <v>2</v>
      </c>
    </row>
    <row r="14">
      <c r="A14" s="182" t="n"/>
      <c r="B14" s="623" t="n"/>
      <c r="C14" s="205" t="inlineStr">
        <is>
          <t>TM104</t>
        </is>
      </c>
      <c r="D14" s="185" t="inlineStr">
        <is>
          <t>SE1043</t>
        </is>
      </c>
      <c r="E14" s="185" t="inlineStr">
        <is>
          <t>Chincha Baja Densidad</t>
        </is>
      </c>
      <c r="F14" s="185" t="n">
        <v>2</v>
      </c>
      <c r="G14" s="626" t="n"/>
      <c r="H14" s="205" t="inlineStr">
        <is>
          <t>TM104</t>
        </is>
      </c>
      <c r="I14" s="204" t="inlineStr">
        <is>
          <t>EN SERVICIO</t>
        </is>
      </c>
      <c r="J14" s="188" t="n">
        <v>1517</v>
      </c>
      <c r="K14" s="188" t="n">
        <v>1527</v>
      </c>
      <c r="L14" s="188" t="n">
        <v>239</v>
      </c>
      <c r="M14" s="188" t="n">
        <v>1891</v>
      </c>
      <c r="N14" s="188" t="n">
        <v>1896</v>
      </c>
      <c r="O14" s="188" t="n">
        <v>1894</v>
      </c>
      <c r="P14" s="188" t="n">
        <v>1897</v>
      </c>
      <c r="Q14" s="188" t="n">
        <v>1940</v>
      </c>
      <c r="R14" s="188" t="n">
        <v>1968</v>
      </c>
      <c r="S14" s="188" t="n">
        <v>1980</v>
      </c>
      <c r="T14" s="188" t="n">
        <v>1990</v>
      </c>
      <c r="U14" s="188" t="n">
        <v>1998</v>
      </c>
      <c r="V14" s="189" t="n">
        <v>1998</v>
      </c>
    </row>
    <row r="15">
      <c r="A15" s="182" t="n"/>
      <c r="B15" s="623" t="n"/>
      <c r="C15" s="205" t="inlineStr">
        <is>
          <t>TM105</t>
        </is>
      </c>
      <c r="D15" s="185" t="inlineStr">
        <is>
          <t>SE1043</t>
        </is>
      </c>
      <c r="E15" s="185" t="inlineStr">
        <is>
          <t>Chincha Baja Densidad</t>
        </is>
      </c>
      <c r="F15" s="185" t="n">
        <v>2</v>
      </c>
      <c r="G15" s="626" t="n"/>
      <c r="H15" s="205" t="inlineStr">
        <is>
          <t>TM105</t>
        </is>
      </c>
      <c r="I15" s="192" t="inlineStr">
        <is>
          <t>EN SERVICIO</t>
        </is>
      </c>
      <c r="J15" s="188" t="n">
        <v>3337</v>
      </c>
      <c r="K15" s="188" t="n">
        <v>3362</v>
      </c>
      <c r="L15" s="188" t="n">
        <v>45</v>
      </c>
      <c r="M15" s="188" t="n">
        <v>3427</v>
      </c>
      <c r="N15" s="188" t="n">
        <v>47</v>
      </c>
      <c r="O15" s="188" t="n">
        <v>47</v>
      </c>
      <c r="P15" s="188" t="n">
        <v>47</v>
      </c>
      <c r="Q15" s="188" t="n">
        <v>3542</v>
      </c>
      <c r="R15" s="188" t="n">
        <v>3608</v>
      </c>
      <c r="S15" s="188" t="n">
        <v>3696</v>
      </c>
      <c r="T15" s="188" t="n">
        <v>3724</v>
      </c>
      <c r="U15" s="188" t="n">
        <v>3795</v>
      </c>
      <c r="V15" s="189" t="n">
        <v>51</v>
      </c>
    </row>
    <row customHeight="1" ht="13.5" r="16" thickBot="1">
      <c r="A16" s="182" t="n"/>
      <c r="B16" s="623" t="n"/>
      <c r="C16" s="207" t="inlineStr">
        <is>
          <t>TM106</t>
        </is>
      </c>
      <c r="D16" s="206" t="inlineStr">
        <is>
          <t>SE1043</t>
        </is>
      </c>
      <c r="E16" s="206" t="inlineStr">
        <is>
          <t>Chincha Baja Densidad</t>
        </is>
      </c>
      <c r="F16" s="206" t="n">
        <v>2</v>
      </c>
      <c r="G16" s="627" t="n"/>
      <c r="H16" s="207" t="inlineStr">
        <is>
          <t>TM106</t>
        </is>
      </c>
      <c r="I16" s="197" t="inlineStr">
        <is>
          <t>EN SERVICIO</t>
        </is>
      </c>
      <c r="J16" s="198" t="n"/>
      <c r="K16" s="198" t="n"/>
      <c r="L16" s="198" t="n"/>
      <c r="M16" s="198" t="n"/>
      <c r="N16" s="198" t="n"/>
      <c r="O16" s="198" t="n"/>
      <c r="P16" s="198" t="n"/>
      <c r="Q16" s="198" t="n"/>
      <c r="R16" s="198" t="n"/>
      <c r="S16" s="198" t="n"/>
      <c r="T16" s="198" t="n"/>
      <c r="U16" s="198" t="n"/>
      <c r="V16" s="199" t="n"/>
    </row>
    <row customHeight="1" ht="13.5" r="17" thickTop="1">
      <c r="A17" s="182" t="n"/>
      <c r="B17" s="623" t="n"/>
      <c r="C17" s="211" t="inlineStr">
        <is>
          <t>PN101</t>
        </is>
      </c>
      <c r="D17" s="208" t="inlineStr">
        <is>
          <t>SE0043</t>
        </is>
      </c>
      <c r="E17" s="209" t="inlineStr">
        <is>
          <t>Chincha</t>
        </is>
      </c>
      <c r="F17" s="210" t="n">
        <v>2</v>
      </c>
      <c r="G17" s="628" t="inlineStr">
        <is>
          <t>SET 23
PUEBLO NUEVO</t>
        </is>
      </c>
      <c r="H17" s="211" t="inlineStr">
        <is>
          <t>PN101</t>
        </is>
      </c>
      <c r="I17" s="202" t="inlineStr">
        <is>
          <t>EN SERVICIO</t>
        </is>
      </c>
      <c r="J17" s="188" t="n">
        <v>4255</v>
      </c>
      <c r="K17" s="188" t="n">
        <v>4314</v>
      </c>
      <c r="L17" s="188" t="n">
        <v>4304</v>
      </c>
      <c r="M17" s="188" t="n">
        <v>4317</v>
      </c>
      <c r="N17" s="188" t="n">
        <v>4327</v>
      </c>
      <c r="O17" s="188" t="n">
        <v>4333</v>
      </c>
      <c r="P17" s="188" t="n">
        <v>4324</v>
      </c>
      <c r="Q17" s="188" t="n">
        <v>4349</v>
      </c>
      <c r="R17" s="188" t="n">
        <v>4339</v>
      </c>
      <c r="S17" s="188" t="n">
        <v>4486</v>
      </c>
      <c r="T17" s="188" t="n">
        <v>4490</v>
      </c>
      <c r="U17" s="188" t="n">
        <v>4470</v>
      </c>
      <c r="V17" s="189" t="n">
        <v>4899</v>
      </c>
    </row>
    <row customHeight="1" ht="15" r="18">
      <c r="A18" s="182" t="n"/>
      <c r="B18" s="623" t="n"/>
      <c r="C18" s="205" t="inlineStr">
        <is>
          <t>PN102</t>
        </is>
      </c>
      <c r="D18" s="185" t="inlineStr">
        <is>
          <t>SE0043</t>
        </is>
      </c>
      <c r="E18" s="185" t="inlineStr">
        <is>
          <t>Chincha</t>
        </is>
      </c>
      <c r="F18" s="185" t="n">
        <v>2</v>
      </c>
      <c r="G18" s="629" t="n"/>
      <c r="H18" s="205" t="inlineStr">
        <is>
          <t>PN102</t>
        </is>
      </c>
      <c r="I18" s="204" t="inlineStr">
        <is>
          <t>EN SERVICIO</t>
        </is>
      </c>
      <c r="J18" s="188" t="n">
        <v>3550</v>
      </c>
      <c r="K18" s="188" t="n">
        <v>3569</v>
      </c>
      <c r="L18" s="188" t="n">
        <v>3565</v>
      </c>
      <c r="M18" s="188" t="n">
        <v>3579</v>
      </c>
      <c r="N18" s="188" t="n">
        <v>3585</v>
      </c>
      <c r="O18" s="188" t="n">
        <v>3594</v>
      </c>
      <c r="P18" s="188" t="n">
        <v>3602</v>
      </c>
      <c r="Q18" s="188" t="n">
        <v>3643</v>
      </c>
      <c r="R18" s="188" t="n">
        <v>3664</v>
      </c>
      <c r="S18" s="188" t="n">
        <v>3543</v>
      </c>
      <c r="T18" s="188" t="n">
        <v>3557</v>
      </c>
      <c r="U18" s="188" t="n">
        <v>3556</v>
      </c>
      <c r="V18" s="189" t="n">
        <v>3567</v>
      </c>
    </row>
    <row customHeight="1" ht="13.5" r="19">
      <c r="A19" s="182" t="n"/>
      <c r="B19" s="623" t="n"/>
      <c r="C19" s="205" t="inlineStr">
        <is>
          <t>PN103</t>
        </is>
      </c>
      <c r="D19" s="185" t="inlineStr">
        <is>
          <t>SE0043</t>
        </is>
      </c>
      <c r="E19" s="185" t="inlineStr">
        <is>
          <t>Chincha</t>
        </is>
      </c>
      <c r="F19" s="185" t="n">
        <v>2</v>
      </c>
      <c r="G19" s="629" t="n"/>
      <c r="H19" s="205" t="inlineStr">
        <is>
          <t>PN103</t>
        </is>
      </c>
      <c r="I19" s="204" t="inlineStr">
        <is>
          <t>EN SERVICIO</t>
        </is>
      </c>
      <c r="J19" s="188" t="n">
        <v>7754</v>
      </c>
      <c r="K19" s="188" t="n">
        <v>7810</v>
      </c>
      <c r="L19" s="188" t="n">
        <v>7815</v>
      </c>
      <c r="M19" s="188" t="n">
        <v>7874</v>
      </c>
      <c r="N19" s="188" t="n">
        <v>7905</v>
      </c>
      <c r="O19" s="188" t="n">
        <v>7923</v>
      </c>
      <c r="P19" s="188" t="n">
        <v>7942</v>
      </c>
      <c r="Q19" s="188" t="n">
        <v>8053</v>
      </c>
      <c r="R19" s="188" t="n">
        <v>8132</v>
      </c>
      <c r="S19" s="188" t="n">
        <v>8224</v>
      </c>
      <c r="T19" s="188" t="n">
        <v>8270</v>
      </c>
      <c r="U19" s="188" t="n">
        <v>8279</v>
      </c>
      <c r="V19" s="189" t="n">
        <v>8286</v>
      </c>
    </row>
    <row customHeight="1" ht="15" r="20">
      <c r="A20" s="182" t="n"/>
      <c r="B20" s="623" t="n"/>
      <c r="C20" s="203" t="inlineStr">
        <is>
          <t>PN104</t>
        </is>
      </c>
      <c r="D20" s="185" t="inlineStr">
        <is>
          <t>SE0043</t>
        </is>
      </c>
      <c r="E20" s="185" t="inlineStr">
        <is>
          <t>Chincha</t>
        </is>
      </c>
      <c r="F20" s="185" t="n">
        <v>2</v>
      </c>
      <c r="G20" s="629" t="n"/>
      <c r="H20" s="203" t="inlineStr">
        <is>
          <t>PN104</t>
        </is>
      </c>
      <c r="I20" s="204" t="inlineStr">
        <is>
          <t>EN SERVICIO</t>
        </is>
      </c>
      <c r="J20" s="188" t="n"/>
      <c r="K20" s="188" t="n"/>
      <c r="L20" s="188" t="n"/>
      <c r="M20" s="188" t="n"/>
      <c r="N20" s="188" t="n"/>
      <c r="O20" s="188" t="n"/>
      <c r="P20" s="188" t="n"/>
      <c r="Q20" s="188" t="n"/>
      <c r="R20" s="188" t="n"/>
      <c r="S20" s="188" t="n"/>
      <c r="T20" s="188" t="n"/>
      <c r="U20" s="188" t="n"/>
      <c r="V20" s="189" t="n"/>
    </row>
    <row customHeight="1" ht="15" r="21">
      <c r="A21" s="182" t="n"/>
      <c r="B21" s="623" t="n"/>
      <c r="C21" s="203" t="inlineStr">
        <is>
          <t>PN105</t>
        </is>
      </c>
      <c r="D21" s="185" t="inlineStr">
        <is>
          <t>SE0043</t>
        </is>
      </c>
      <c r="E21" s="185" t="inlineStr">
        <is>
          <t>Chincha</t>
        </is>
      </c>
      <c r="F21" s="185" t="n">
        <v>2</v>
      </c>
      <c r="G21" s="629" t="n"/>
      <c r="H21" s="203" t="inlineStr">
        <is>
          <t>PN105</t>
        </is>
      </c>
      <c r="I21" s="204" t="inlineStr">
        <is>
          <t>EN SERVICIO</t>
        </is>
      </c>
      <c r="J21" s="188" t="n">
        <v>303</v>
      </c>
      <c r="K21" s="188" t="n">
        <v>303</v>
      </c>
      <c r="L21" s="188" t="n">
        <v>302</v>
      </c>
      <c r="M21" s="188" t="n">
        <v>304</v>
      </c>
      <c r="N21" s="188" t="n">
        <v>305</v>
      </c>
      <c r="O21" s="188" t="n">
        <v>309</v>
      </c>
      <c r="P21" s="188" t="n">
        <v>311</v>
      </c>
      <c r="Q21" s="188" t="n">
        <v>312</v>
      </c>
      <c r="R21" s="188" t="n">
        <v>328</v>
      </c>
      <c r="S21" s="188" t="n"/>
      <c r="T21" s="188" t="n"/>
      <c r="U21" s="188" t="n"/>
      <c r="V21" s="189" t="n"/>
    </row>
    <row customHeight="1" ht="15" r="22">
      <c r="A22" s="182" t="n"/>
      <c r="B22" s="623" t="n"/>
      <c r="C22" s="203" t="inlineStr">
        <is>
          <t>PN106</t>
        </is>
      </c>
      <c r="D22" s="185" t="inlineStr">
        <is>
          <t>SE0043</t>
        </is>
      </c>
      <c r="E22" s="185" t="inlineStr">
        <is>
          <t>Chincha</t>
        </is>
      </c>
      <c r="F22" s="185" t="n">
        <v>2</v>
      </c>
      <c r="G22" s="629" t="n"/>
      <c r="H22" s="203" t="inlineStr">
        <is>
          <t>PN106</t>
        </is>
      </c>
      <c r="I22" s="192" t="inlineStr">
        <is>
          <t>EN SERVICIO</t>
        </is>
      </c>
      <c r="J22" s="188" t="n">
        <v>7525</v>
      </c>
      <c r="K22" s="188" t="n">
        <v>7549</v>
      </c>
      <c r="L22" s="188" t="n">
        <v>10862</v>
      </c>
      <c r="M22" s="188" t="n">
        <v>7573</v>
      </c>
      <c r="N22" s="188" t="n">
        <v>10997</v>
      </c>
      <c r="O22" s="188" t="n">
        <v>11032</v>
      </c>
      <c r="P22" s="188" t="n">
        <v>11084</v>
      </c>
      <c r="Q22" s="188" t="n">
        <v>7816</v>
      </c>
      <c r="R22" s="188" t="n">
        <v>7865</v>
      </c>
      <c r="S22" s="188" t="n">
        <v>7981</v>
      </c>
      <c r="T22" s="188" t="n">
        <v>8021</v>
      </c>
      <c r="U22" s="188" t="n">
        <v>8063</v>
      </c>
      <c r="V22" s="189" t="n">
        <v>11430</v>
      </c>
    </row>
    <row customHeight="1" ht="15" r="23">
      <c r="A23" s="182" t="n"/>
      <c r="B23" s="623" t="n"/>
      <c r="C23" s="203" t="inlineStr">
        <is>
          <t>PN107</t>
        </is>
      </c>
      <c r="D23" s="185" t="inlineStr">
        <is>
          <t>SE0043</t>
        </is>
      </c>
      <c r="E23" s="185" t="inlineStr">
        <is>
          <t>Chincha</t>
        </is>
      </c>
      <c r="F23" s="185" t="n">
        <v>2</v>
      </c>
      <c r="G23" s="629" t="n"/>
      <c r="H23" s="203" t="inlineStr">
        <is>
          <t>PN107</t>
        </is>
      </c>
      <c r="I23" s="192" t="inlineStr">
        <is>
          <t>EN SERVICIO</t>
        </is>
      </c>
      <c r="J23" s="188" t="n">
        <v>9922</v>
      </c>
      <c r="K23" s="188" t="n">
        <v>9989</v>
      </c>
      <c r="L23" s="188" t="n">
        <v>9980</v>
      </c>
      <c r="M23" s="188" t="n">
        <v>10058</v>
      </c>
      <c r="N23" s="188" t="n">
        <v>10087</v>
      </c>
      <c r="O23" s="188" t="n">
        <v>10091</v>
      </c>
      <c r="P23" s="188" t="n">
        <v>10123</v>
      </c>
      <c r="Q23" s="188" t="n">
        <v>10268</v>
      </c>
      <c r="R23" s="188" t="n">
        <v>10399</v>
      </c>
      <c r="S23" s="188" t="n">
        <v>10522</v>
      </c>
      <c r="T23" s="188" t="n">
        <v>10580</v>
      </c>
      <c r="U23" s="188" t="n">
        <v>10622</v>
      </c>
      <c r="V23" s="189" t="n">
        <v>10665</v>
      </c>
    </row>
    <row customHeight="1" ht="15" r="24">
      <c r="A24" s="182" t="n"/>
      <c r="B24" s="623" t="n"/>
      <c r="C24" s="203" t="inlineStr">
        <is>
          <t>PN208</t>
        </is>
      </c>
      <c r="D24" s="185" t="inlineStr">
        <is>
          <t>SE0043</t>
        </is>
      </c>
      <c r="E24" s="185" t="inlineStr">
        <is>
          <t>Chincha</t>
        </is>
      </c>
      <c r="F24" s="185" t="n">
        <v>2</v>
      </c>
      <c r="G24" s="629" t="n"/>
      <c r="H24" s="203" t="inlineStr">
        <is>
          <t>PN208</t>
        </is>
      </c>
      <c r="I24" s="192" t="inlineStr">
        <is>
          <t>EN SERVICIO</t>
        </is>
      </c>
      <c r="J24" s="212" t="n">
        <v>1807</v>
      </c>
      <c r="K24" s="212" t="n">
        <v>1837</v>
      </c>
      <c r="L24" s="212" t="n">
        <v>1821</v>
      </c>
      <c r="M24" s="212" t="n">
        <v>1853</v>
      </c>
      <c r="N24" s="212" t="n">
        <v>1870</v>
      </c>
      <c r="O24" s="212" t="n">
        <v>1876</v>
      </c>
      <c r="P24" s="212" t="n">
        <v>1883</v>
      </c>
      <c r="Q24" s="212" t="n">
        <v>1915</v>
      </c>
      <c r="R24" s="212" t="n">
        <v>1949</v>
      </c>
      <c r="S24" s="212" t="n">
        <v>1979</v>
      </c>
      <c r="T24" s="212" t="n">
        <v>2003</v>
      </c>
      <c r="U24" s="212" t="n"/>
      <c r="V24" s="213" t="n">
        <v>1981</v>
      </c>
    </row>
    <row customHeight="1" ht="15.75" r="25" thickBot="1">
      <c r="A25" s="182" t="n"/>
      <c r="B25" s="623" t="n"/>
      <c r="C25" s="207" t="inlineStr">
        <is>
          <t>PN209</t>
        </is>
      </c>
      <c r="D25" s="214" t="inlineStr">
        <is>
          <t>SE0043</t>
        </is>
      </c>
      <c r="E25" s="215" t="inlineStr">
        <is>
          <t>Chincha</t>
        </is>
      </c>
      <c r="F25" s="214" t="n">
        <v>2</v>
      </c>
      <c r="G25" s="630" t="n"/>
      <c r="H25" s="207" t="inlineStr">
        <is>
          <t>PN209</t>
        </is>
      </c>
      <c r="I25" s="197" t="inlineStr">
        <is>
          <t>EN SERVICIO</t>
        </is>
      </c>
      <c r="J25" s="198" t="n"/>
      <c r="K25" s="198" t="n"/>
      <c r="L25" s="198" t="n"/>
      <c r="M25" s="198" t="n"/>
      <c r="N25" s="198" t="n"/>
      <c r="O25" s="198" t="n"/>
      <c r="P25" s="198" t="n"/>
      <c r="Q25" s="198" t="n"/>
      <c r="R25" s="198" t="n"/>
      <c r="S25" s="198" t="n">
        <v>351</v>
      </c>
      <c r="T25" s="198" t="n">
        <v>355</v>
      </c>
      <c r="U25" s="198" t="n">
        <v>2335</v>
      </c>
      <c r="V25" s="199" t="n">
        <v>351</v>
      </c>
    </row>
    <row customHeight="1" ht="13.5" r="26" thickTop="1">
      <c r="A26" s="182" t="n"/>
      <c r="B26" s="623" t="n"/>
      <c r="C26" s="219" t="inlineStr">
        <is>
          <t>PE101</t>
        </is>
      </c>
      <c r="D26" s="216" t="inlineStr">
        <is>
          <t>SE1043</t>
        </is>
      </c>
      <c r="E26" s="217" t="inlineStr">
        <is>
          <t>Chincha Baja Densidad</t>
        </is>
      </c>
      <c r="F26" s="218" t="n">
        <v>2</v>
      </c>
      <c r="G26" s="529" t="inlineStr">
        <is>
          <t>SET 25
PEDREGAL</t>
        </is>
      </c>
      <c r="H26" s="219" t="inlineStr">
        <is>
          <t>PE101</t>
        </is>
      </c>
      <c r="I26" s="220" t="inlineStr">
        <is>
          <t>EN SERVICIO</t>
        </is>
      </c>
      <c r="J26" s="188" t="n">
        <v>1921</v>
      </c>
      <c r="K26" s="188" t="n">
        <v>1940</v>
      </c>
      <c r="L26" s="188" t="n">
        <v>1934</v>
      </c>
      <c r="M26" s="188" t="n">
        <v>1648</v>
      </c>
      <c r="N26" s="188" t="n">
        <v>1649</v>
      </c>
      <c r="O26" s="188" t="n">
        <v>1646</v>
      </c>
      <c r="P26" s="188" t="n">
        <v>1655</v>
      </c>
      <c r="Q26" s="188" t="n">
        <v>1673</v>
      </c>
      <c r="R26" s="188" t="n">
        <v>1698</v>
      </c>
      <c r="S26" s="188" t="n">
        <v>1715</v>
      </c>
      <c r="T26" s="188" t="n">
        <v>1731</v>
      </c>
      <c r="U26" s="188" t="n">
        <v>1729</v>
      </c>
      <c r="V26" s="189" t="n">
        <v>1732</v>
      </c>
    </row>
    <row r="27">
      <c r="A27" s="182" t="n"/>
      <c r="B27" s="623" t="n"/>
      <c r="C27" s="223" t="inlineStr">
        <is>
          <t>PE102</t>
        </is>
      </c>
      <c r="D27" s="221" t="inlineStr">
        <is>
          <t>SE1043</t>
        </is>
      </c>
      <c r="E27" s="185" t="inlineStr">
        <is>
          <t>Chincha Baja Densidad</t>
        </is>
      </c>
      <c r="F27" s="222" t="n">
        <v>2</v>
      </c>
      <c r="G27" s="624" t="n"/>
      <c r="H27" s="223" t="inlineStr">
        <is>
          <t>PE102</t>
        </is>
      </c>
      <c r="I27" s="220" t="inlineStr">
        <is>
          <t>EN SERVICIO</t>
        </is>
      </c>
      <c r="J27" s="188" t="n">
        <v>1286</v>
      </c>
      <c r="K27" s="188" t="n">
        <v>1288</v>
      </c>
      <c r="L27" s="188" t="n">
        <v>2583</v>
      </c>
      <c r="M27" s="188" t="n">
        <v>1206</v>
      </c>
      <c r="N27" s="188" t="n">
        <v>1210</v>
      </c>
      <c r="O27" s="188" t="n">
        <v>1213</v>
      </c>
      <c r="P27" s="188" t="n">
        <v>1221</v>
      </c>
      <c r="Q27" s="188" t="n">
        <v>1240</v>
      </c>
      <c r="R27" s="188" t="n">
        <v>1251</v>
      </c>
      <c r="S27" s="188" t="n">
        <v>1259</v>
      </c>
      <c r="T27" s="188" t="n">
        <v>1265</v>
      </c>
      <c r="U27" s="188" t="n">
        <v>1279</v>
      </c>
      <c r="V27" s="189" t="n">
        <v>1279</v>
      </c>
    </row>
    <row r="28">
      <c r="A28" s="182" t="n"/>
      <c r="B28" s="623" t="n"/>
      <c r="C28" s="225" t="inlineStr">
        <is>
          <t>PE103</t>
        </is>
      </c>
      <c r="D28" s="224" t="inlineStr">
        <is>
          <t>SE0043</t>
        </is>
      </c>
      <c r="E28" s="185" t="inlineStr">
        <is>
          <t>Chincha</t>
        </is>
      </c>
      <c r="F28" s="222" t="n">
        <v>2</v>
      </c>
      <c r="G28" s="624" t="n"/>
      <c r="H28" s="225" t="inlineStr">
        <is>
          <t>PE103</t>
        </is>
      </c>
      <c r="I28" s="220" t="inlineStr">
        <is>
          <t>EN SERVICIO</t>
        </is>
      </c>
      <c r="J28" s="188" t="n">
        <v>6174</v>
      </c>
      <c r="K28" s="188" t="n">
        <v>6204</v>
      </c>
      <c r="L28" s="188" t="n">
        <v>6159</v>
      </c>
      <c r="M28" s="188" t="n">
        <v>6207</v>
      </c>
      <c r="N28" s="188" t="n">
        <v>6225</v>
      </c>
      <c r="O28" s="188" t="n">
        <v>6239</v>
      </c>
      <c r="P28" s="188" t="n">
        <v>6277</v>
      </c>
      <c r="Q28" s="188" t="n">
        <v>6422</v>
      </c>
      <c r="R28" s="188" t="n">
        <v>6475</v>
      </c>
      <c r="S28" s="188" t="n">
        <v>6583</v>
      </c>
      <c r="T28" s="188" t="n">
        <v>6625</v>
      </c>
      <c r="U28" s="188" t="n">
        <v>6760</v>
      </c>
      <c r="V28" s="189" t="n">
        <v>6818</v>
      </c>
    </row>
    <row r="29">
      <c r="A29" s="182" t="n"/>
      <c r="B29" s="623" t="n"/>
      <c r="C29" s="225" t="inlineStr">
        <is>
          <t>PE104</t>
        </is>
      </c>
      <c r="D29" s="224" t="inlineStr">
        <is>
          <t>SE0043</t>
        </is>
      </c>
      <c r="E29" s="185" t="inlineStr">
        <is>
          <t>Chincha</t>
        </is>
      </c>
      <c r="F29" s="222" t="n">
        <v>2</v>
      </c>
      <c r="G29" s="624" t="n"/>
      <c r="H29" s="225" t="inlineStr">
        <is>
          <t>PE104</t>
        </is>
      </c>
      <c r="I29" s="220" t="inlineStr">
        <is>
          <t>EN SERVICIO</t>
        </is>
      </c>
      <c r="J29" s="188" t="n">
        <v>1418</v>
      </c>
      <c r="K29" s="188" t="n">
        <v>1423</v>
      </c>
      <c r="L29" s="188" t="n">
        <v>1454</v>
      </c>
      <c r="M29" s="188" t="n">
        <v>1489</v>
      </c>
      <c r="N29" s="188" t="n">
        <v>1497</v>
      </c>
      <c r="O29" s="188" t="n">
        <v>1502</v>
      </c>
      <c r="P29" s="188" t="n">
        <v>1509</v>
      </c>
      <c r="Q29" s="188" t="n">
        <v>1538</v>
      </c>
      <c r="R29" s="188" t="n">
        <v>1560</v>
      </c>
      <c r="S29" s="188" t="n">
        <v>1588</v>
      </c>
      <c r="T29" s="188" t="n">
        <v>1617</v>
      </c>
      <c r="U29" s="188" t="n">
        <v>1630</v>
      </c>
      <c r="V29" s="189" t="n">
        <v>1629</v>
      </c>
    </row>
    <row r="30">
      <c r="A30" s="182" t="n"/>
      <c r="B30" s="623" t="n"/>
      <c r="C30" s="226" t="inlineStr">
        <is>
          <t>PE105</t>
        </is>
      </c>
      <c r="D30" s="224" t="inlineStr">
        <is>
          <t>SE0043</t>
        </is>
      </c>
      <c r="E30" s="185" t="inlineStr">
        <is>
          <t>Chincha</t>
        </is>
      </c>
      <c r="F30" s="222" t="n">
        <v>2</v>
      </c>
      <c r="G30" s="624" t="n"/>
      <c r="H30" s="226" t="inlineStr">
        <is>
          <t>PE105</t>
        </is>
      </c>
      <c r="I30" s="227" t="inlineStr">
        <is>
          <t>EN SERVICIO</t>
        </is>
      </c>
      <c r="J30" s="228" t="n">
        <v>1429</v>
      </c>
      <c r="K30" s="228" t="n">
        <v>1428</v>
      </c>
      <c r="L30" s="228" t="n">
        <v>1431</v>
      </c>
      <c r="M30" s="228" t="n">
        <v>1471</v>
      </c>
      <c r="N30" s="228" t="n">
        <v>1472</v>
      </c>
      <c r="O30" s="228" t="n">
        <v>1476</v>
      </c>
      <c r="P30" s="228" t="n">
        <v>1484</v>
      </c>
      <c r="Q30" s="228" t="n">
        <v>1512</v>
      </c>
      <c r="R30" s="228" t="n">
        <v>1515</v>
      </c>
      <c r="S30" s="228" t="n">
        <v>1527</v>
      </c>
      <c r="T30" s="228" t="n">
        <v>1541</v>
      </c>
      <c r="U30" s="228" t="n">
        <v>1547</v>
      </c>
      <c r="V30" s="189" t="n">
        <v>1557</v>
      </c>
    </row>
    <row customHeight="1" ht="13.5" r="31" thickBot="1">
      <c r="A31" s="182" t="n"/>
      <c r="B31" s="631" t="n"/>
      <c r="C31" s="232" t="inlineStr">
        <is>
          <t>PE106</t>
        </is>
      </c>
      <c r="D31" s="229" t="inlineStr">
        <is>
          <t>SE1043</t>
        </is>
      </c>
      <c r="E31" s="230" t="inlineStr">
        <is>
          <t>Chincha Baja Densidad</t>
        </is>
      </c>
      <c r="F31" s="231" t="n">
        <v>2</v>
      </c>
      <c r="G31" s="632" t="n"/>
      <c r="H31" s="232" t="inlineStr">
        <is>
          <t>PE106</t>
        </is>
      </c>
      <c r="I31" s="233" t="inlineStr">
        <is>
          <t>EN SERVICIO</t>
        </is>
      </c>
      <c r="J31" s="233" t="n"/>
      <c r="K31" s="233" t="n"/>
      <c r="L31" s="233" t="n"/>
      <c r="M31" s="233" t="n"/>
      <c r="N31" s="233" t="n"/>
      <c r="O31" s="233" t="n"/>
      <c r="P31" s="233" t="n"/>
      <c r="Q31" s="233" t="n"/>
      <c r="R31" s="233" t="n"/>
      <c r="S31" s="233" t="n">
        <v>1</v>
      </c>
      <c r="T31" s="233" t="n">
        <v>1</v>
      </c>
      <c r="U31" s="233" t="n">
        <v>1</v>
      </c>
      <c r="V31" s="189" t="n">
        <v>1</v>
      </c>
    </row>
    <row customHeight="1" ht="14.25" r="32" thickBot="1" thickTop="1">
      <c r="A32" s="182" t="n"/>
      <c r="B32" s="519" t="inlineStr">
        <is>
          <t>PISCO</t>
        </is>
      </c>
      <c r="C32" s="239" t="inlineStr">
        <is>
          <t>PI101</t>
        </is>
      </c>
      <c r="D32" s="236" t="inlineStr">
        <is>
          <t>SE0046</t>
        </is>
      </c>
      <c r="E32" s="237" t="inlineStr">
        <is>
          <t>PISCO</t>
        </is>
      </c>
      <c r="F32" s="238" t="n">
        <v>2</v>
      </c>
      <c r="G32" s="534" t="inlineStr">
        <is>
          <t>SET 31
PISCO</t>
        </is>
      </c>
      <c r="H32" s="239" t="inlineStr">
        <is>
          <t>PI101</t>
        </is>
      </c>
      <c r="I32" s="240" t="inlineStr">
        <is>
          <t>FUERA DE SERVICIO</t>
        </is>
      </c>
      <c r="J32" s="240" t="n"/>
      <c r="K32" s="240" t="n"/>
      <c r="L32" s="240" t="n"/>
      <c r="M32" s="240" t="n"/>
      <c r="N32" s="240" t="n"/>
      <c r="O32" s="240" t="n"/>
      <c r="P32" s="240" t="n"/>
      <c r="Q32" s="240" t="n"/>
      <c r="R32" s="240" t="n"/>
      <c r="S32" s="240" t="n"/>
      <c r="T32" s="240" t="n"/>
      <c r="U32" s="240" t="n"/>
      <c r="V32" s="189" t="n"/>
    </row>
    <row customHeight="1" ht="14.25" r="33" thickBot="1" thickTop="1">
      <c r="A33" s="182" t="n"/>
      <c r="B33" s="623" t="n"/>
      <c r="C33" s="185" t="inlineStr">
        <is>
          <t>PI102</t>
        </is>
      </c>
      <c r="D33" s="241" t="inlineStr">
        <is>
          <t>SE0046</t>
        </is>
      </c>
      <c r="E33" s="242" t="inlineStr">
        <is>
          <t>PISCO</t>
        </is>
      </c>
      <c r="F33" s="243" t="n">
        <v>2</v>
      </c>
      <c r="G33" s="629" t="n"/>
      <c r="H33" s="185" t="inlineStr">
        <is>
          <t>PI102</t>
        </is>
      </c>
      <c r="I33" s="220" t="inlineStr">
        <is>
          <t>EN SERVICIO</t>
        </is>
      </c>
      <c r="J33" s="188" t="n">
        <v>2998</v>
      </c>
      <c r="K33" s="188" t="n">
        <v>2983</v>
      </c>
      <c r="L33" s="188" t="n">
        <v>2956</v>
      </c>
      <c r="M33" s="188" t="n">
        <v>2995</v>
      </c>
      <c r="N33" s="188" t="n">
        <v>2998</v>
      </c>
      <c r="O33" s="188" t="n">
        <v>2999</v>
      </c>
      <c r="P33" s="188" t="n">
        <v>3014</v>
      </c>
      <c r="Q33" s="188" t="n">
        <v>3038</v>
      </c>
      <c r="R33" s="188" t="n">
        <v>3035</v>
      </c>
      <c r="S33" s="188" t="n">
        <v>3066</v>
      </c>
      <c r="T33" s="188">
        <f>VLOOKUP(H33,[5]Hoja3!$E$4:$F$84,2,0)</f>
        <v/>
      </c>
      <c r="U33" s="188" t="n">
        <v>2752</v>
      </c>
      <c r="V33" s="189" t="n">
        <v>2761</v>
      </c>
    </row>
    <row customHeight="1" ht="14.25" r="34" thickBot="1" thickTop="1">
      <c r="A34" s="182" t="n"/>
      <c r="B34" s="623" t="n"/>
      <c r="C34" s="185" t="inlineStr">
        <is>
          <t>PI103</t>
        </is>
      </c>
      <c r="D34" s="241" t="inlineStr">
        <is>
          <t>SE0046</t>
        </is>
      </c>
      <c r="E34" s="242" t="inlineStr">
        <is>
          <t>PISCO</t>
        </is>
      </c>
      <c r="F34" s="243" t="n">
        <v>2</v>
      </c>
      <c r="G34" s="629" t="n"/>
      <c r="H34" s="185" t="inlineStr">
        <is>
          <t>PI103</t>
        </is>
      </c>
      <c r="I34" s="220" t="inlineStr">
        <is>
          <t>EN SERVICIO</t>
        </is>
      </c>
      <c r="J34" s="188" t="n">
        <v>4037</v>
      </c>
      <c r="K34" s="188" t="n">
        <v>4025</v>
      </c>
      <c r="L34" s="188" t="n">
        <v>3978</v>
      </c>
      <c r="M34" s="188" t="n">
        <v>4029</v>
      </c>
      <c r="N34" s="188" t="n">
        <v>4033</v>
      </c>
      <c r="O34" s="188" t="n">
        <v>4015</v>
      </c>
      <c r="P34" s="188" t="n">
        <v>4466</v>
      </c>
      <c r="Q34" s="188" t="n">
        <v>4498</v>
      </c>
      <c r="R34" s="188" t="n">
        <v>4500</v>
      </c>
      <c r="S34" s="188" t="n">
        <v>4667</v>
      </c>
      <c r="T34" s="188">
        <f>VLOOKUP(H34,[5]Hoja3!$E$4:$F$84,2,0)</f>
        <v/>
      </c>
      <c r="U34" s="188" t="n">
        <v>4699</v>
      </c>
      <c r="V34" s="189" t="n">
        <v>4685</v>
      </c>
    </row>
    <row customHeight="1" ht="14.25" r="35" thickBot="1" thickTop="1">
      <c r="A35" s="182" t="n"/>
      <c r="B35" s="623" t="n"/>
      <c r="C35" s="194" t="inlineStr">
        <is>
          <t>PI116</t>
        </is>
      </c>
      <c r="D35" s="244" t="inlineStr">
        <is>
          <t>SE0046</t>
        </is>
      </c>
      <c r="E35" s="245" t="inlineStr">
        <is>
          <t>PISCO</t>
        </is>
      </c>
      <c r="F35" s="246" t="n">
        <v>2</v>
      </c>
      <c r="G35" s="633" t="n"/>
      <c r="H35" s="194" t="inlineStr">
        <is>
          <t>PI116</t>
        </is>
      </c>
      <c r="I35" s="247" t="inlineStr">
        <is>
          <t>EN SERVICIO</t>
        </is>
      </c>
      <c r="J35" s="198" t="n">
        <v>1739</v>
      </c>
      <c r="K35" s="198" t="n">
        <v>1861</v>
      </c>
      <c r="L35" s="198" t="n">
        <v>1846</v>
      </c>
      <c r="M35" s="198" t="n">
        <v>1870</v>
      </c>
      <c r="N35" s="198" t="n">
        <v>1872</v>
      </c>
      <c r="O35" s="198" t="n">
        <v>1877</v>
      </c>
      <c r="P35" s="198" t="n">
        <v>1880</v>
      </c>
      <c r="Q35" s="198" t="n">
        <v>1889</v>
      </c>
      <c r="R35" s="198" t="n">
        <v>1887</v>
      </c>
      <c r="S35" s="198" t="n">
        <v>1920</v>
      </c>
      <c r="T35" s="198">
        <f>VLOOKUP(H35,[5]Hoja3!$E$4:$F$84,2,0)</f>
        <v/>
      </c>
      <c r="U35" s="198" t="n">
        <v>1933</v>
      </c>
      <c r="V35" s="199" t="n">
        <v>1940</v>
      </c>
    </row>
    <row customHeight="1" ht="15.75" r="36" thickBot="1" thickTop="1">
      <c r="B36" s="623" t="n"/>
      <c r="C36" s="251" t="inlineStr">
        <is>
          <t>AL104</t>
        </is>
      </c>
      <c r="D36" s="248" t="inlineStr">
        <is>
          <t>SE0046</t>
        </is>
      </c>
      <c r="E36" s="249" t="inlineStr">
        <is>
          <t>PISCO</t>
        </is>
      </c>
      <c r="F36" s="250" t="n">
        <v>2</v>
      </c>
      <c r="G36" s="634" t="inlineStr">
        <is>
          <t>SET 33
ALTO LA LUNA</t>
        </is>
      </c>
      <c r="H36" s="251" t="inlineStr">
        <is>
          <t>AL104</t>
        </is>
      </c>
      <c r="I36" s="252" t="inlineStr">
        <is>
          <t>EN SERVICIO</t>
        </is>
      </c>
      <c r="J36" s="188" t="n">
        <v>899</v>
      </c>
      <c r="K36" s="188" t="n">
        <v>904</v>
      </c>
      <c r="L36" s="188" t="n">
        <v>901</v>
      </c>
      <c r="M36" s="188" t="n">
        <v>921</v>
      </c>
      <c r="N36" s="188" t="n">
        <v>924</v>
      </c>
      <c r="O36" s="188" t="n">
        <v>927</v>
      </c>
      <c r="P36" s="188" t="n">
        <v>934</v>
      </c>
      <c r="Q36" s="188" t="n">
        <v>1015</v>
      </c>
      <c r="R36" s="188" t="n">
        <v>1108</v>
      </c>
      <c r="S36" s="188" t="n">
        <v>1194</v>
      </c>
      <c r="T36" s="188">
        <f>VLOOKUP(H36,[5]Hoja3!$E$4:$F$84,2,0)</f>
        <v/>
      </c>
      <c r="U36" s="188" t="n">
        <v>1683</v>
      </c>
      <c r="V36" s="189" t="n">
        <v>1728</v>
      </c>
    </row>
    <row customHeight="1" ht="14.25" r="37" thickBot="1" thickTop="1">
      <c r="B37" s="623" t="n"/>
      <c r="C37" s="185" t="inlineStr">
        <is>
          <t>AL105</t>
        </is>
      </c>
      <c r="D37" s="241" t="inlineStr">
        <is>
          <t>SE0046</t>
        </is>
      </c>
      <c r="E37" s="242" t="inlineStr">
        <is>
          <t>PISCO</t>
        </is>
      </c>
      <c r="F37" s="243" t="n">
        <v>2</v>
      </c>
      <c r="G37" s="626" t="n"/>
      <c r="H37" s="185" t="inlineStr">
        <is>
          <t>AL105</t>
        </is>
      </c>
      <c r="I37" s="220" t="inlineStr">
        <is>
          <t>EN SERVICIO</t>
        </is>
      </c>
      <c r="J37" s="188" t="n">
        <v>8148</v>
      </c>
      <c r="K37" s="188" t="n">
        <v>8172</v>
      </c>
      <c r="L37" s="188" t="n">
        <v>8064</v>
      </c>
      <c r="M37" s="188" t="n">
        <v>8222</v>
      </c>
      <c r="N37" s="188" t="n">
        <v>8238</v>
      </c>
      <c r="O37" s="188" t="n">
        <v>8227</v>
      </c>
      <c r="P37" s="188" t="n">
        <v>8265</v>
      </c>
      <c r="Q37" s="188" t="n">
        <v>8372</v>
      </c>
      <c r="R37" s="188" t="n">
        <v>8417</v>
      </c>
      <c r="S37" s="188" t="n">
        <v>8485</v>
      </c>
      <c r="T37" s="188">
        <f>VLOOKUP(H37,[5]Hoja3!$E$4:$F$84,2,0)</f>
        <v/>
      </c>
      <c r="U37" s="188" t="n">
        <v>8474</v>
      </c>
      <c r="V37" s="189" t="n">
        <v>8477</v>
      </c>
    </row>
    <row customHeight="1" ht="14.25" r="38" thickBot="1" thickTop="1">
      <c r="B38" s="623" t="n"/>
      <c r="C38" s="185" t="inlineStr">
        <is>
          <t>AL106</t>
        </is>
      </c>
      <c r="D38" s="241" t="inlineStr">
        <is>
          <t>SE0046</t>
        </is>
      </c>
      <c r="E38" s="242" t="inlineStr">
        <is>
          <t>PISCO</t>
        </is>
      </c>
      <c r="F38" s="243" t="n">
        <v>2</v>
      </c>
      <c r="G38" s="626" t="n"/>
      <c r="H38" s="185" t="inlineStr">
        <is>
          <t>AL106</t>
        </is>
      </c>
      <c r="I38" s="220" t="inlineStr">
        <is>
          <t>EN SERVICIO</t>
        </is>
      </c>
      <c r="J38" s="188" t="n">
        <v>7621</v>
      </c>
      <c r="K38" s="188" t="n">
        <v>7635</v>
      </c>
      <c r="L38" s="188" t="n">
        <v>7590</v>
      </c>
      <c r="M38" s="188" t="n">
        <v>7650</v>
      </c>
      <c r="N38" s="188" t="n">
        <v>7663</v>
      </c>
      <c r="O38" s="188" t="n">
        <v>7644</v>
      </c>
      <c r="P38" s="188" t="n">
        <v>7230</v>
      </c>
      <c r="Q38" s="188" t="n">
        <v>7282</v>
      </c>
      <c r="R38" s="188" t="n">
        <v>7275</v>
      </c>
      <c r="S38" s="188" t="n">
        <v>7094</v>
      </c>
      <c r="T38" s="188">
        <f>VLOOKUP(H38,[5]Hoja3!$E$4:$F$84,2,0)</f>
        <v/>
      </c>
      <c r="U38" s="188" t="n">
        <v>7044</v>
      </c>
      <c r="V38" s="189" t="n">
        <v>7038</v>
      </c>
    </row>
    <row customHeight="1" ht="14.25" r="39" thickBot="1" thickTop="1">
      <c r="B39" s="623" t="n"/>
      <c r="C39" s="185" t="inlineStr">
        <is>
          <t>AL107</t>
        </is>
      </c>
      <c r="D39" s="241" t="inlineStr">
        <is>
          <t>SE0046</t>
        </is>
      </c>
      <c r="E39" s="242" t="inlineStr">
        <is>
          <t>PISCO</t>
        </is>
      </c>
      <c r="F39" s="243" t="n">
        <v>2</v>
      </c>
      <c r="G39" s="626" t="n"/>
      <c r="H39" s="185" t="inlineStr">
        <is>
          <t>AL107</t>
        </is>
      </c>
      <c r="I39" s="220" t="inlineStr">
        <is>
          <t>FUERA DE SERVICIO</t>
        </is>
      </c>
      <c r="J39" s="188" t="n"/>
      <c r="K39" s="188" t="n"/>
      <c r="L39" s="188" t="n"/>
      <c r="M39" s="188" t="n"/>
      <c r="N39" s="188" t="n"/>
      <c r="O39" s="188" t="n"/>
      <c r="P39" s="188" t="n"/>
      <c r="Q39" s="188" t="n"/>
      <c r="R39" s="188" t="n"/>
      <c r="S39" s="188" t="n"/>
      <c r="T39" s="188" t="n"/>
      <c r="U39" s="188" t="n"/>
      <c r="V39" s="189" t="n"/>
    </row>
    <row customHeight="1" ht="14.25" r="40" thickBot="1" thickTop="1">
      <c r="B40" s="623" t="n"/>
      <c r="C40" s="206" t="inlineStr">
        <is>
          <t>AL108</t>
        </is>
      </c>
      <c r="D40" s="244" t="inlineStr">
        <is>
          <t>SE0046</t>
        </is>
      </c>
      <c r="E40" s="245" t="inlineStr">
        <is>
          <t>PISCO</t>
        </is>
      </c>
      <c r="F40" s="246" t="n">
        <v>2</v>
      </c>
      <c r="G40" s="626" t="n"/>
      <c r="H40" s="206" t="inlineStr">
        <is>
          <t>AL108</t>
        </is>
      </c>
      <c r="I40" s="220" t="inlineStr">
        <is>
          <t>EN SERVICIO</t>
        </is>
      </c>
      <c r="J40" s="212" t="n">
        <v>6151</v>
      </c>
      <c r="K40" s="212" t="n">
        <v>6163</v>
      </c>
      <c r="L40" s="212" t="n">
        <v>6061</v>
      </c>
      <c r="M40" s="212" t="n">
        <v>6169</v>
      </c>
      <c r="N40" s="212" t="n">
        <v>6188</v>
      </c>
      <c r="O40" s="212" t="n">
        <v>6196</v>
      </c>
      <c r="P40" s="212" t="n">
        <v>6219</v>
      </c>
      <c r="Q40" s="212" t="n">
        <v>6329</v>
      </c>
      <c r="R40" s="212" t="n">
        <v>6387</v>
      </c>
      <c r="S40" s="212" t="n">
        <v>6399</v>
      </c>
      <c r="T40" s="212">
        <f>VLOOKUP(H40,[5]Hoja3!$E$4:$F$84,2,0)</f>
        <v/>
      </c>
      <c r="U40" s="212" t="n">
        <v>6370</v>
      </c>
      <c r="V40" s="213" t="n">
        <v>6347</v>
      </c>
    </row>
    <row customHeight="1" ht="14.25" r="41" thickBot="1" thickTop="1">
      <c r="B41" s="623" t="n"/>
      <c r="C41" s="194" t="inlineStr">
        <is>
          <t>AL209</t>
        </is>
      </c>
      <c r="D41" s="253" t="inlineStr">
        <is>
          <t>SE0046</t>
        </is>
      </c>
      <c r="E41" s="254" t="inlineStr">
        <is>
          <t>PISCO</t>
        </is>
      </c>
      <c r="F41" s="255" t="n">
        <v>2</v>
      </c>
      <c r="G41" s="635" t="n"/>
      <c r="H41" s="194" t="inlineStr">
        <is>
          <t>AL209</t>
        </is>
      </c>
      <c r="I41" s="247" t="inlineStr">
        <is>
          <t>EN SERVICIO</t>
        </is>
      </c>
      <c r="J41" s="198" t="n">
        <v>1</v>
      </c>
      <c r="K41" s="198" t="n">
        <v>1</v>
      </c>
      <c r="L41" s="198" t="n">
        <v>1</v>
      </c>
      <c r="M41" s="198" t="n"/>
      <c r="N41" s="198" t="n"/>
      <c r="O41" s="198" t="n"/>
      <c r="P41" s="198" t="n"/>
      <c r="Q41" s="198" t="n"/>
      <c r="R41" s="198" t="n"/>
      <c r="S41" s="198" t="n"/>
      <c r="T41" s="198" t="n"/>
      <c r="U41" s="198" t="n">
        <v>2</v>
      </c>
      <c r="V41" s="199" t="n">
        <v>3</v>
      </c>
    </row>
    <row customHeight="1" ht="14.25" r="42" thickBot="1" thickTop="1">
      <c r="B42" s="623" t="n"/>
      <c r="C42" s="200" t="inlineStr">
        <is>
          <t>PA108</t>
        </is>
      </c>
      <c r="D42" s="236" t="inlineStr">
        <is>
          <t>SE2046</t>
        </is>
      </c>
      <c r="E42" s="237" t="inlineStr">
        <is>
          <t>PARACAS</t>
        </is>
      </c>
      <c r="F42" s="238" t="n">
        <v>2</v>
      </c>
      <c r="G42" s="540" t="inlineStr">
        <is>
          <t>SET 32
PARACAS</t>
        </is>
      </c>
      <c r="H42" s="200" t="inlineStr">
        <is>
          <t>PA108</t>
        </is>
      </c>
      <c r="I42" s="202" t="inlineStr">
        <is>
          <t>EN SERVICIO</t>
        </is>
      </c>
      <c r="J42" s="188" t="n">
        <v>14</v>
      </c>
      <c r="K42" s="188" t="n">
        <v>14</v>
      </c>
      <c r="L42" s="188" t="n">
        <v>14</v>
      </c>
      <c r="M42" s="188" t="n">
        <v>13</v>
      </c>
      <c r="N42" s="188" t="n">
        <v>13</v>
      </c>
      <c r="O42" s="188" t="n">
        <v>13</v>
      </c>
      <c r="P42" s="188" t="n">
        <v>13</v>
      </c>
      <c r="Q42" s="188" t="n">
        <v>13</v>
      </c>
      <c r="R42" s="188" t="n">
        <v>13</v>
      </c>
      <c r="S42" s="188" t="n">
        <v>13</v>
      </c>
      <c r="T42" s="188">
        <f>VLOOKUP(H42,[5]Hoja3!$E$4:$F$84,2,0)</f>
        <v/>
      </c>
      <c r="U42" s="188" t="n">
        <v>14</v>
      </c>
      <c r="V42" s="189" t="n">
        <v>14</v>
      </c>
    </row>
    <row customHeight="1" ht="14.25" r="43" thickBot="1" thickTop="1">
      <c r="B43" s="623" t="n"/>
      <c r="C43" s="185" t="inlineStr">
        <is>
          <t>PA109</t>
        </is>
      </c>
      <c r="D43" s="241" t="inlineStr">
        <is>
          <t>SE2046</t>
        </is>
      </c>
      <c r="E43" s="242" t="inlineStr">
        <is>
          <t>PARACAS</t>
        </is>
      </c>
      <c r="F43" s="243" t="n">
        <v>2</v>
      </c>
      <c r="G43" s="629" t="n"/>
      <c r="H43" s="185" t="inlineStr">
        <is>
          <t>PA109</t>
        </is>
      </c>
      <c r="I43" s="220" t="inlineStr">
        <is>
          <t>EN SERVICIO</t>
        </is>
      </c>
      <c r="J43" s="188" t="n">
        <v>3</v>
      </c>
      <c r="K43" s="188" t="n">
        <v>3</v>
      </c>
      <c r="L43" s="188" t="n">
        <v>3</v>
      </c>
      <c r="M43" s="188" t="n">
        <v>3</v>
      </c>
      <c r="N43" s="188" t="n">
        <v>3</v>
      </c>
      <c r="O43" s="188" t="n">
        <v>3</v>
      </c>
      <c r="P43" s="188" t="n">
        <v>2</v>
      </c>
      <c r="Q43" s="188" t="n">
        <v>2</v>
      </c>
      <c r="R43" s="188" t="n">
        <v>2</v>
      </c>
      <c r="S43" s="188" t="n">
        <v>2</v>
      </c>
      <c r="T43" s="188">
        <f>VLOOKUP(H43,[5]Hoja3!$E$4:$F$84,2,0)</f>
        <v/>
      </c>
      <c r="U43" s="188" t="n">
        <v>2</v>
      </c>
      <c r="V43" s="189" t="n">
        <v>2</v>
      </c>
    </row>
    <row customHeight="1" ht="14.25" r="44" thickBot="1" thickTop="1">
      <c r="B44" s="623" t="n"/>
      <c r="C44" s="185" t="inlineStr">
        <is>
          <t>PA110</t>
        </is>
      </c>
      <c r="D44" s="241" t="inlineStr">
        <is>
          <t>SE2046</t>
        </is>
      </c>
      <c r="E44" s="242" t="inlineStr">
        <is>
          <t>PARACAS</t>
        </is>
      </c>
      <c r="F44" s="243" t="n">
        <v>2</v>
      </c>
      <c r="G44" s="629" t="n"/>
      <c r="H44" s="185" t="inlineStr">
        <is>
          <t>PA110</t>
        </is>
      </c>
      <c r="I44" s="220" t="inlineStr">
        <is>
          <t>EN SERVICIO</t>
        </is>
      </c>
      <c r="J44" s="188" t="n"/>
      <c r="K44" s="188" t="n"/>
      <c r="L44" s="188" t="n"/>
      <c r="M44" s="188" t="n"/>
      <c r="N44" s="188" t="n">
        <v>1</v>
      </c>
      <c r="O44" s="188" t="n">
        <v>1</v>
      </c>
      <c r="P44" s="188" t="n">
        <v>1</v>
      </c>
      <c r="Q44" s="188" t="n">
        <v>1</v>
      </c>
      <c r="R44" s="188" t="n">
        <v>1</v>
      </c>
      <c r="S44" s="188" t="n">
        <v>1</v>
      </c>
      <c r="T44" s="188">
        <f>VLOOKUP(H44,[5]Hoja3!$E$4:$F$84,2,0)</f>
        <v/>
      </c>
      <c r="U44" s="188" t="n">
        <v>1</v>
      </c>
      <c r="V44" s="189" t="n">
        <v>1</v>
      </c>
    </row>
    <row customHeight="1" ht="14.25" r="45" thickBot="1" thickTop="1">
      <c r="B45" s="623" t="n"/>
      <c r="C45" s="185" t="inlineStr">
        <is>
          <t>PA111</t>
        </is>
      </c>
      <c r="D45" s="241" t="inlineStr">
        <is>
          <t>SE2046</t>
        </is>
      </c>
      <c r="E45" s="242" t="inlineStr">
        <is>
          <t>PARACAS</t>
        </is>
      </c>
      <c r="F45" s="243" t="n">
        <v>2</v>
      </c>
      <c r="G45" s="629" t="n"/>
      <c r="H45" s="185" t="inlineStr">
        <is>
          <t>PA111</t>
        </is>
      </c>
      <c r="I45" s="220" t="inlineStr">
        <is>
          <t>EN SERVICIO</t>
        </is>
      </c>
      <c r="J45" s="188" t="n">
        <v>836</v>
      </c>
      <c r="K45" s="188" t="n">
        <v>846</v>
      </c>
      <c r="L45" s="188" t="n">
        <v>841</v>
      </c>
      <c r="M45" s="188" t="n">
        <v>857</v>
      </c>
      <c r="N45" s="188" t="n">
        <v>859</v>
      </c>
      <c r="O45" s="188" t="n">
        <v>859</v>
      </c>
      <c r="P45" s="188" t="n">
        <v>864</v>
      </c>
      <c r="Q45" s="188" t="n">
        <v>868</v>
      </c>
      <c r="R45" s="188" t="n">
        <v>860</v>
      </c>
      <c r="S45" s="188" t="n">
        <v>869</v>
      </c>
      <c r="T45" s="188">
        <f>VLOOKUP(H45,[5]Hoja3!$E$4:$F$84,2,0)</f>
        <v/>
      </c>
      <c r="U45" s="188" t="n">
        <v>862</v>
      </c>
      <c r="V45" s="189" t="n">
        <v>868</v>
      </c>
    </row>
    <row customHeight="1" ht="14.25" r="46" thickBot="1" thickTop="1">
      <c r="B46" s="623" t="n"/>
      <c r="C46" s="185" t="inlineStr">
        <is>
          <t>PA217</t>
        </is>
      </c>
      <c r="D46" s="241" t="inlineStr">
        <is>
          <t>SE2046</t>
        </is>
      </c>
      <c r="E46" s="242" t="inlineStr">
        <is>
          <t>PARACAS</t>
        </is>
      </c>
      <c r="F46" s="243" t="n">
        <v>2</v>
      </c>
      <c r="G46" s="629" t="n"/>
      <c r="H46" s="185" t="inlineStr">
        <is>
          <t>PA217</t>
        </is>
      </c>
      <c r="I46" s="220" t="inlineStr">
        <is>
          <t>EN SERVICIO</t>
        </is>
      </c>
      <c r="J46" s="188" t="n">
        <v>958</v>
      </c>
      <c r="K46" s="188" t="n">
        <v>1010</v>
      </c>
      <c r="L46" s="188" t="n">
        <v>1015</v>
      </c>
      <c r="M46" s="188" t="n">
        <v>1040</v>
      </c>
      <c r="N46" s="188" t="n">
        <v>1044</v>
      </c>
      <c r="O46" s="188" t="n">
        <v>1047</v>
      </c>
      <c r="P46" s="188" t="n">
        <v>1132</v>
      </c>
      <c r="Q46" s="188" t="n">
        <v>1153</v>
      </c>
      <c r="R46" s="188" t="n">
        <v>1168</v>
      </c>
      <c r="S46" s="188" t="n">
        <v>1182</v>
      </c>
      <c r="T46" s="188">
        <f>VLOOKUP(H46,[5]Hoja3!$E$4:$F$84,2,0)</f>
        <v/>
      </c>
      <c r="U46" s="188" t="n">
        <v>1221</v>
      </c>
      <c r="V46" s="189" t="n">
        <v>1364</v>
      </c>
    </row>
    <row customHeight="1" ht="14.25" r="47" thickBot="1" thickTop="1">
      <c r="B47" s="623" t="n"/>
      <c r="C47" s="259" t="inlineStr">
        <is>
          <t>PA218</t>
        </is>
      </c>
      <c r="D47" s="256" t="inlineStr">
        <is>
          <t>SE2046</t>
        </is>
      </c>
      <c r="E47" s="257" t="inlineStr">
        <is>
          <t>PARACAS</t>
        </is>
      </c>
      <c r="F47" s="258" t="n">
        <v>2</v>
      </c>
      <c r="G47" s="633" t="n"/>
      <c r="H47" s="259" t="inlineStr">
        <is>
          <t>PA218</t>
        </is>
      </c>
      <c r="I47" s="260" t="inlineStr">
        <is>
          <t>EN SERVICIO</t>
        </is>
      </c>
      <c r="J47" s="198" t="n"/>
      <c r="K47" s="198" t="n"/>
      <c r="L47" s="198" t="n"/>
      <c r="M47" s="198" t="n"/>
      <c r="N47" s="198" t="n"/>
      <c r="O47" s="198" t="n"/>
      <c r="P47" s="198" t="n"/>
      <c r="Q47" s="198" t="n"/>
      <c r="R47" s="198" t="n"/>
      <c r="S47" s="198" t="n">
        <v>1</v>
      </c>
      <c r="T47" s="198">
        <f>VLOOKUP(H47,[5]Hoja3!$E$4:$F$84,2,0)</f>
        <v/>
      </c>
      <c r="U47" s="198" t="n">
        <v>1</v>
      </c>
      <c r="V47" s="199" t="n">
        <v>1</v>
      </c>
    </row>
    <row customHeight="1" ht="14.25" r="48" thickBot="1" thickTop="1">
      <c r="B48" s="623" t="n"/>
      <c r="C48" s="264" t="inlineStr">
        <is>
          <t>SI112</t>
        </is>
      </c>
      <c r="D48" s="261" t="inlineStr">
        <is>
          <t>SE1046</t>
        </is>
      </c>
      <c r="E48" s="262" t="inlineStr">
        <is>
          <t>PISCO URBANO RURAL</t>
        </is>
      </c>
      <c r="F48" s="263" t="n">
        <v>3</v>
      </c>
      <c r="G48" s="543" t="inlineStr">
        <is>
          <t>SEIN</t>
        </is>
      </c>
      <c r="H48" s="264" t="inlineStr">
        <is>
          <t>SI112</t>
        </is>
      </c>
      <c r="I48" s="265" t="inlineStr">
        <is>
          <t>EN SERVICIO</t>
        </is>
      </c>
      <c r="J48" s="188" t="n">
        <v>3331</v>
      </c>
      <c r="K48" s="188" t="n">
        <v>3346</v>
      </c>
      <c r="L48" s="188" t="n">
        <v>3322</v>
      </c>
      <c r="M48" s="188" t="n">
        <v>3375</v>
      </c>
      <c r="N48" s="188" t="n">
        <v>3378</v>
      </c>
      <c r="O48" s="188" t="n">
        <v>3388</v>
      </c>
      <c r="P48" s="188" t="n">
        <v>3400</v>
      </c>
      <c r="Q48" s="188" t="n">
        <v>3474</v>
      </c>
      <c r="R48" s="188" t="n">
        <v>3524</v>
      </c>
      <c r="S48" s="188" t="n">
        <v>3552</v>
      </c>
      <c r="T48" s="188">
        <f>VLOOKUP(H48,[5]Hoja3!$E$4:$F$84,2,0)</f>
        <v/>
      </c>
      <c r="U48" s="188" t="n">
        <v>3516</v>
      </c>
      <c r="V48" s="189" t="n">
        <v>3524</v>
      </c>
    </row>
    <row customHeight="1" ht="14.25" r="49" thickBot="1" thickTop="1">
      <c r="B49" s="623" t="n"/>
      <c r="C49" s="185" t="inlineStr">
        <is>
          <t>SI213</t>
        </is>
      </c>
      <c r="D49" s="266" t="inlineStr">
        <is>
          <t>SE1046</t>
        </is>
      </c>
      <c r="E49" s="267" t="inlineStr">
        <is>
          <t>PISCO URBANO RURAL</t>
        </is>
      </c>
      <c r="F49" s="268" t="n">
        <v>3</v>
      </c>
      <c r="G49" s="629" t="n"/>
      <c r="H49" s="185" t="inlineStr">
        <is>
          <t>SI213</t>
        </is>
      </c>
      <c r="I49" s="269" t="inlineStr">
        <is>
          <t>EN SERVICIO</t>
        </is>
      </c>
      <c r="J49" s="188" t="n">
        <v>651</v>
      </c>
      <c r="K49" s="188" t="n">
        <v>658</v>
      </c>
      <c r="L49" s="188" t="n">
        <v>658</v>
      </c>
      <c r="M49" s="188" t="n">
        <v>668</v>
      </c>
      <c r="N49" s="188" t="n">
        <v>668</v>
      </c>
      <c r="O49" s="188" t="n">
        <v>668</v>
      </c>
      <c r="P49" s="188" t="n">
        <v>671</v>
      </c>
      <c r="Q49" s="188" t="n">
        <v>688</v>
      </c>
      <c r="R49" s="188" t="n">
        <v>699</v>
      </c>
      <c r="S49" s="188" t="n">
        <v>716</v>
      </c>
      <c r="T49" s="188">
        <f>VLOOKUP(H49,[5]Hoja3!$E$4:$F$84,2,0)</f>
        <v/>
      </c>
      <c r="U49" s="188" t="n">
        <v>727</v>
      </c>
      <c r="V49" s="189" t="n">
        <v>727</v>
      </c>
    </row>
    <row customHeight="1" ht="12.75" r="50" thickBot="1" thickTop="1">
      <c r="B50" s="623" t="n"/>
      <c r="C50" s="259" t="inlineStr">
        <is>
          <t>SI114</t>
        </is>
      </c>
      <c r="D50" s="270" t="inlineStr">
        <is>
          <t>SE1046</t>
        </is>
      </c>
      <c r="E50" s="271" t="inlineStr">
        <is>
          <t>PISCO URBANO RURAL</t>
        </is>
      </c>
      <c r="F50" s="272" t="n">
        <v>3</v>
      </c>
      <c r="G50" s="636" t="n"/>
      <c r="H50" s="259" t="inlineStr">
        <is>
          <t>SI114</t>
        </is>
      </c>
      <c r="I50" s="260" t="inlineStr">
        <is>
          <t>FUERA DE SERVICIO</t>
        </is>
      </c>
      <c r="J50" s="198" t="n"/>
      <c r="K50" s="198" t="n"/>
      <c r="L50" s="198" t="n"/>
      <c r="M50" s="198" t="n"/>
      <c r="N50" s="198" t="n"/>
      <c r="O50" s="198" t="n"/>
      <c r="P50" s="198" t="n"/>
      <c r="Q50" s="198" t="n"/>
      <c r="R50" s="198" t="n"/>
      <c r="S50" s="198" t="n"/>
      <c r="T50" s="198" t="n"/>
      <c r="U50" s="198" t="n"/>
      <c r="V50" s="199" t="n"/>
    </row>
    <row customHeight="1" ht="14.25" r="51" thickBot="1" thickTop="1">
      <c r="B51" s="631" t="n"/>
      <c r="C51" s="277" t="inlineStr">
        <is>
          <t>SC215</t>
        </is>
      </c>
      <c r="D51" s="273" t="inlineStr">
        <is>
          <t>SE0051</t>
        </is>
      </c>
      <c r="E51" s="274" t="inlineStr">
        <is>
          <t>HUAYTARA-CHOVORROS</t>
        </is>
      </c>
      <c r="F51" s="275" t="n">
        <v>4</v>
      </c>
      <c r="G51" s="276" t="inlineStr">
        <is>
          <t>SET 04</t>
        </is>
      </c>
      <c r="H51" s="277" t="inlineStr">
        <is>
          <t>SC215</t>
        </is>
      </c>
      <c r="I51" s="278" t="inlineStr">
        <is>
          <t>EN SERVICIO</t>
        </is>
      </c>
      <c r="J51" s="278" t="n">
        <v>5809</v>
      </c>
      <c r="K51" s="278" t="n">
        <v>5835</v>
      </c>
      <c r="L51" s="278" t="n">
        <v>5852</v>
      </c>
      <c r="M51" s="278" t="n">
        <v>5904</v>
      </c>
      <c r="N51" s="278" t="n">
        <v>5925</v>
      </c>
      <c r="O51" s="278" t="n">
        <v>5913</v>
      </c>
      <c r="P51" s="278" t="n">
        <v>5926</v>
      </c>
      <c r="Q51" s="278" t="n">
        <v>5967</v>
      </c>
      <c r="R51" s="278" t="n">
        <v>6010</v>
      </c>
      <c r="S51" s="278" t="n">
        <v>6052</v>
      </c>
      <c r="T51" s="278">
        <f>VLOOKUP(H51,[5]Hoja3!$E$4:$F$84,2,0)</f>
        <v/>
      </c>
      <c r="U51" s="278" t="n">
        <v>6144</v>
      </c>
      <c r="V51" s="189" t="n">
        <v>6121</v>
      </c>
    </row>
    <row customHeight="1" ht="13.5" r="52" thickTop="1">
      <c r="B52" s="519" t="inlineStr">
        <is>
          <t>ICA</t>
        </is>
      </c>
      <c r="C52" s="239" t="inlineStr">
        <is>
          <t>IC103</t>
        </is>
      </c>
      <c r="D52" s="279" t="inlineStr">
        <is>
          <t>SE0044</t>
        </is>
      </c>
      <c r="E52" s="280" t="inlineStr">
        <is>
          <t>ICA</t>
        </is>
      </c>
      <c r="F52" s="281" t="n">
        <v>2</v>
      </c>
      <c r="G52" s="546" t="inlineStr">
        <is>
          <t>SEICA</t>
        </is>
      </c>
      <c r="H52" s="239" t="inlineStr">
        <is>
          <t>IC103</t>
        </is>
      </c>
      <c r="I52" s="240" t="inlineStr">
        <is>
          <t>EN SERVICIO</t>
        </is>
      </c>
      <c r="J52" s="240" t="n">
        <v>8623</v>
      </c>
      <c r="K52" s="240" t="n">
        <v>8677</v>
      </c>
      <c r="L52" s="240" t="n">
        <v>9050</v>
      </c>
      <c r="M52" s="240" t="n">
        <v>9223</v>
      </c>
      <c r="N52" s="240" t="n">
        <v>9241</v>
      </c>
      <c r="O52" s="240" t="n">
        <v>9260</v>
      </c>
      <c r="P52" s="240" t="n">
        <v>9286</v>
      </c>
      <c r="Q52" s="240" t="n">
        <v>9424</v>
      </c>
      <c r="R52" s="240" t="n">
        <v>9495</v>
      </c>
      <c r="S52" s="240" t="n">
        <v>9613</v>
      </c>
      <c r="T52" s="240">
        <f>VLOOKUP(H52,[5]Hoja3!$E$4:$F$84,2,0)</f>
        <v/>
      </c>
      <c r="U52" s="240" t="n">
        <v>9865</v>
      </c>
      <c r="V52" s="189" t="n">
        <v>10003</v>
      </c>
    </row>
    <row customHeight="1" ht="15" r="53">
      <c r="B53" s="623" t="n"/>
      <c r="C53" s="282" t="inlineStr">
        <is>
          <t>IC104</t>
        </is>
      </c>
      <c r="D53" s="266" t="inlineStr">
        <is>
          <t>SE0044</t>
        </is>
      </c>
      <c r="E53" s="267" t="inlineStr">
        <is>
          <t>ICA</t>
        </is>
      </c>
      <c r="F53" s="268" t="n">
        <v>2</v>
      </c>
      <c r="G53" s="629" t="n"/>
      <c r="H53" s="282" t="inlineStr">
        <is>
          <t>IC104</t>
        </is>
      </c>
      <c r="I53" s="220" t="inlineStr">
        <is>
          <t>EN SERVICIO</t>
        </is>
      </c>
      <c r="J53" s="188" t="n">
        <v>9726</v>
      </c>
      <c r="K53" s="188" t="n">
        <v>9784</v>
      </c>
      <c r="L53" s="188" t="n">
        <v>9826</v>
      </c>
      <c r="M53" s="188" t="n">
        <v>10137</v>
      </c>
      <c r="N53" s="188" t="n">
        <v>10163</v>
      </c>
      <c r="O53" s="188" t="n">
        <v>10203</v>
      </c>
      <c r="P53" s="188" t="n">
        <v>10237</v>
      </c>
      <c r="Q53" s="188" t="n">
        <v>10360</v>
      </c>
      <c r="R53" s="188" t="n">
        <v>10475</v>
      </c>
      <c r="S53" s="188" t="n">
        <v>10786</v>
      </c>
      <c r="T53" s="188">
        <f>VLOOKUP(H53,[5]Hoja3!$E$4:$F$84,2,0)</f>
        <v/>
      </c>
      <c r="U53" s="188" t="n">
        <v>11088</v>
      </c>
      <c r="V53" s="189" t="n">
        <v>11192</v>
      </c>
    </row>
    <row customHeight="1" ht="12.75" r="54">
      <c r="B54" s="623" t="n"/>
      <c r="C54" s="283" t="inlineStr">
        <is>
          <t>IC105</t>
        </is>
      </c>
      <c r="D54" s="266" t="inlineStr">
        <is>
          <t>SE0044</t>
        </is>
      </c>
      <c r="E54" s="267" t="inlineStr">
        <is>
          <t>ICA</t>
        </is>
      </c>
      <c r="F54" s="268" t="n">
        <v>2</v>
      </c>
      <c r="G54" s="629" t="n"/>
      <c r="H54" s="283" t="inlineStr">
        <is>
          <t>IC105</t>
        </is>
      </c>
      <c r="I54" s="220" t="inlineStr">
        <is>
          <t>EN SERVICIO</t>
        </is>
      </c>
      <c r="J54" s="188" t="n">
        <v>1876</v>
      </c>
      <c r="K54" s="188" t="n">
        <v>1878</v>
      </c>
      <c r="L54" s="188" t="n">
        <v>1897</v>
      </c>
      <c r="M54" s="188" t="n">
        <v>1923</v>
      </c>
      <c r="N54" s="188" t="n">
        <v>1929</v>
      </c>
      <c r="O54" s="188" t="n">
        <v>1924</v>
      </c>
      <c r="P54" s="188" t="n">
        <v>1925</v>
      </c>
      <c r="Q54" s="188" t="n">
        <v>1954</v>
      </c>
      <c r="R54" s="188" t="n">
        <v>1965</v>
      </c>
      <c r="S54" s="188" t="n">
        <v>1982</v>
      </c>
      <c r="T54" s="188">
        <f>VLOOKUP(H54,[5]Hoja3!$E$4:$F$84,2,0)</f>
        <v/>
      </c>
      <c r="U54" s="188" t="n">
        <v>1984</v>
      </c>
      <c r="V54" s="189" t="n">
        <v>1996</v>
      </c>
    </row>
    <row customHeight="1" ht="15" r="55">
      <c r="B55" s="623" t="n"/>
      <c r="C55" s="283" t="inlineStr">
        <is>
          <t>IC106</t>
        </is>
      </c>
      <c r="D55" s="266" t="inlineStr">
        <is>
          <t>SE0044</t>
        </is>
      </c>
      <c r="E55" s="267" t="inlineStr">
        <is>
          <t>ICA</t>
        </is>
      </c>
      <c r="F55" s="268" t="n">
        <v>2</v>
      </c>
      <c r="G55" s="629" t="n"/>
      <c r="H55" s="283" t="inlineStr">
        <is>
          <t>IC106</t>
        </is>
      </c>
      <c r="I55" s="220" t="inlineStr">
        <is>
          <t>EN SERVICIO</t>
        </is>
      </c>
      <c r="J55" s="188" t="n">
        <v>541</v>
      </c>
      <c r="K55" s="188" t="n">
        <v>581</v>
      </c>
      <c r="L55" s="188" t="n">
        <v>600</v>
      </c>
      <c r="M55" s="188" t="n">
        <v>633</v>
      </c>
      <c r="N55" s="188" t="n">
        <v>635</v>
      </c>
      <c r="O55" s="188" t="n">
        <v>632</v>
      </c>
      <c r="P55" s="188" t="n">
        <v>639</v>
      </c>
      <c r="Q55" s="188" t="n">
        <v>658</v>
      </c>
      <c r="R55" s="188" t="n">
        <v>675</v>
      </c>
      <c r="S55" s="188" t="n">
        <v>699</v>
      </c>
      <c r="T55" s="188">
        <f>VLOOKUP(H55,[5]Hoja3!$E$4:$F$84,2,0)</f>
        <v/>
      </c>
      <c r="U55" s="188" t="n">
        <v>3514</v>
      </c>
      <c r="V55" s="189" t="n">
        <v>3531</v>
      </c>
    </row>
    <row customHeight="1" ht="15.75" r="56" thickBot="1">
      <c r="B56" s="623" t="n"/>
      <c r="C56" s="254" t="inlineStr">
        <is>
          <t>IC107</t>
        </is>
      </c>
      <c r="D56" s="284" t="inlineStr">
        <is>
          <t>SE2044</t>
        </is>
      </c>
      <c r="E56" s="285" t="inlineStr">
        <is>
          <t>SANTA MARGARITA</t>
        </is>
      </c>
      <c r="F56" s="286" t="n">
        <v>2</v>
      </c>
      <c r="G56" s="636" t="n"/>
      <c r="H56" s="254" t="inlineStr">
        <is>
          <t>IC107</t>
        </is>
      </c>
      <c r="I56" s="247" t="inlineStr">
        <is>
          <t>EN SERVICIO</t>
        </is>
      </c>
      <c r="J56" s="198" t="n">
        <v>4175</v>
      </c>
      <c r="K56" s="198" t="n">
        <v>4227</v>
      </c>
      <c r="L56" s="198" t="n">
        <v>3943</v>
      </c>
      <c r="M56" s="198" t="n">
        <v>4030</v>
      </c>
      <c r="N56" s="198" t="n">
        <v>4062</v>
      </c>
      <c r="O56" s="198" t="n">
        <v>4146</v>
      </c>
      <c r="P56" s="198" t="n">
        <v>4192</v>
      </c>
      <c r="Q56" s="198" t="n">
        <v>4327</v>
      </c>
      <c r="R56" s="198" t="n">
        <v>4400</v>
      </c>
      <c r="S56" s="198" t="n">
        <v>4485</v>
      </c>
      <c r="T56" s="198">
        <f>VLOOKUP(H56,[5]Hoja3!$E$4:$F$84,2,0)</f>
        <v/>
      </c>
      <c r="U56" s="198" t="n">
        <v>4710</v>
      </c>
      <c r="V56" s="199" t="n">
        <v>4813</v>
      </c>
    </row>
    <row customHeight="1" ht="15.75" r="57" thickTop="1">
      <c r="B57" s="623" t="n"/>
      <c r="C57" s="200" t="inlineStr">
        <is>
          <t>IN110</t>
        </is>
      </c>
      <c r="D57" s="287" t="inlineStr">
        <is>
          <t>SE0044</t>
        </is>
      </c>
      <c r="E57" s="288" t="inlineStr">
        <is>
          <t>ICA</t>
        </is>
      </c>
      <c r="F57" s="289" t="n">
        <v>2</v>
      </c>
      <c r="G57" s="560" t="n"/>
      <c r="H57" s="200" t="inlineStr">
        <is>
          <t>IN110</t>
        </is>
      </c>
      <c r="I57" s="202" t="inlineStr">
        <is>
          <t>EN SERVICIO</t>
        </is>
      </c>
      <c r="J57" s="188" t="n">
        <v>2689</v>
      </c>
      <c r="K57" s="188" t="n">
        <v>2697</v>
      </c>
      <c r="L57" s="188" t="n">
        <v>2705</v>
      </c>
      <c r="M57" s="188" t="n">
        <v>2728</v>
      </c>
      <c r="N57" s="188" t="n">
        <v>2730</v>
      </c>
      <c r="O57" s="188" t="n">
        <v>2733</v>
      </c>
      <c r="P57" s="188" t="n">
        <v>2731</v>
      </c>
      <c r="Q57" s="188" t="n">
        <v>2746</v>
      </c>
      <c r="R57" s="188" t="n">
        <v>2763</v>
      </c>
      <c r="S57" s="188" t="n">
        <v>2790</v>
      </c>
      <c r="T57" s="188">
        <f>VLOOKUP(H57,[5]Hoja3!$E$4:$F$84,2,0)</f>
        <v/>
      </c>
      <c r="U57" s="188" t="n">
        <v>2817</v>
      </c>
      <c r="V57" s="189" t="n">
        <v>2824</v>
      </c>
    </row>
    <row customHeight="1" ht="15.75" r="58">
      <c r="B58" s="623" t="n"/>
      <c r="C58" s="200" t="inlineStr">
        <is>
          <t>IN111</t>
        </is>
      </c>
      <c r="D58" s="266" t="inlineStr">
        <is>
          <t>SE0044</t>
        </is>
      </c>
      <c r="E58" s="267" t="inlineStr">
        <is>
          <t>ICA</t>
        </is>
      </c>
      <c r="F58" s="268" t="n">
        <v>2</v>
      </c>
      <c r="G58" s="548" t="inlineStr">
        <is>
          <t>SET 44
ICA NORTE</t>
        </is>
      </c>
      <c r="H58" s="200" t="inlineStr">
        <is>
          <t>IN111</t>
        </is>
      </c>
      <c r="I58" s="220" t="inlineStr">
        <is>
          <t>EN SERVICIO</t>
        </is>
      </c>
      <c r="J58" s="188" t="n">
        <v>10466</v>
      </c>
      <c r="K58" s="188" t="n">
        <v>10597</v>
      </c>
      <c r="L58" s="188" t="n">
        <v>10707</v>
      </c>
      <c r="M58" s="188" t="n">
        <v>11042</v>
      </c>
      <c r="N58" s="188" t="n">
        <v>11085</v>
      </c>
      <c r="O58" s="188" t="n">
        <v>11143</v>
      </c>
      <c r="P58" s="188" t="n">
        <v>11191</v>
      </c>
      <c r="Q58" s="188" t="n">
        <v>11444</v>
      </c>
      <c r="R58" s="188" t="n">
        <v>11621</v>
      </c>
      <c r="S58" s="188" t="n">
        <v>11822</v>
      </c>
      <c r="T58" s="188">
        <f>VLOOKUP(H58,[5]Hoja3!$E$4:$F$84,2,0)</f>
        <v/>
      </c>
      <c r="U58" s="188" t="n">
        <v>12107</v>
      </c>
      <c r="V58" s="189" t="n">
        <v>12258</v>
      </c>
    </row>
    <row customHeight="1" ht="15" r="59">
      <c r="B59" s="623" t="n"/>
      <c r="C59" s="185" t="inlineStr">
        <is>
          <t>IN112</t>
        </is>
      </c>
      <c r="D59" s="266" t="inlineStr">
        <is>
          <t>SE0044</t>
        </is>
      </c>
      <c r="E59" s="267" t="inlineStr">
        <is>
          <t>ICA</t>
        </is>
      </c>
      <c r="F59" s="268" t="n">
        <v>2</v>
      </c>
      <c r="G59" s="629" t="n"/>
      <c r="H59" s="185" t="inlineStr">
        <is>
          <t>IN112</t>
        </is>
      </c>
      <c r="I59" s="220" t="inlineStr">
        <is>
          <t>EN SERVICIO</t>
        </is>
      </c>
      <c r="J59" s="188" t="n">
        <v>9145</v>
      </c>
      <c r="K59" s="188" t="n">
        <v>9098</v>
      </c>
      <c r="L59" s="188" t="n">
        <v>9169</v>
      </c>
      <c r="M59" s="188" t="n">
        <v>9342</v>
      </c>
      <c r="N59" s="188" t="n">
        <v>9398</v>
      </c>
      <c r="O59" s="188" t="n">
        <v>9481</v>
      </c>
      <c r="P59" s="188" t="n">
        <v>9512</v>
      </c>
      <c r="Q59" s="188" t="n">
        <v>9678</v>
      </c>
      <c r="R59" s="188" t="n">
        <v>9743</v>
      </c>
      <c r="S59" s="188" t="n">
        <v>9910</v>
      </c>
      <c r="T59" s="188">
        <f>VLOOKUP(H59,[5]Hoja3!$E$4:$F$84,2,0)</f>
        <v/>
      </c>
      <c r="U59" s="188" t="n">
        <v>10068</v>
      </c>
      <c r="V59" s="189" t="n">
        <v>10313</v>
      </c>
    </row>
    <row customHeight="1" ht="15" r="60">
      <c r="B60" s="623" t="n"/>
      <c r="C60" s="185" t="inlineStr">
        <is>
          <t>IN113</t>
        </is>
      </c>
      <c r="D60" s="266" t="inlineStr">
        <is>
          <t>SE0044</t>
        </is>
      </c>
      <c r="E60" s="267" t="inlineStr">
        <is>
          <t>ICA</t>
        </is>
      </c>
      <c r="F60" s="268" t="n">
        <v>2</v>
      </c>
      <c r="G60" s="629" t="n"/>
      <c r="H60" s="185" t="inlineStr">
        <is>
          <t>IN113</t>
        </is>
      </c>
      <c r="I60" s="220" t="inlineStr">
        <is>
          <t>EN SERVICIO</t>
        </is>
      </c>
      <c r="J60" s="188" t="n">
        <v>5505</v>
      </c>
      <c r="K60" s="188" t="n">
        <v>5507</v>
      </c>
      <c r="L60" s="188" t="n">
        <v>5508</v>
      </c>
      <c r="M60" s="188" t="n">
        <v>7675</v>
      </c>
      <c r="N60" s="188" t="n">
        <v>7682</v>
      </c>
      <c r="O60" s="188" t="n">
        <v>7682</v>
      </c>
      <c r="P60" s="188" t="n">
        <v>7691</v>
      </c>
      <c r="Q60" s="188" t="n">
        <v>7744</v>
      </c>
      <c r="R60" s="188" t="n">
        <v>7720</v>
      </c>
      <c r="S60" s="188" t="n">
        <v>7673</v>
      </c>
      <c r="T60" s="188">
        <f>VLOOKUP(H60,[5]Hoja3!$E$4:$F$84,2,0)</f>
        <v/>
      </c>
      <c r="U60" s="188" t="n">
        <v>7681</v>
      </c>
      <c r="V60" s="189" t="n">
        <v>7698</v>
      </c>
    </row>
    <row customHeight="1" ht="15" r="61">
      <c r="B61" s="623" t="n"/>
      <c r="C61" s="206" t="inlineStr">
        <is>
          <t>IN114</t>
        </is>
      </c>
      <c r="D61" s="266" t="inlineStr">
        <is>
          <t>SE0044</t>
        </is>
      </c>
      <c r="E61" s="267" t="inlineStr">
        <is>
          <t>ICA</t>
        </is>
      </c>
      <c r="F61" s="268" t="n">
        <v>2</v>
      </c>
      <c r="G61" s="629" t="n"/>
      <c r="H61" s="206" t="inlineStr">
        <is>
          <t>IN114</t>
        </is>
      </c>
      <c r="I61" s="291" t="inlineStr">
        <is>
          <t>EN SERVICIO</t>
        </is>
      </c>
      <c r="J61" s="188" t="n">
        <v>8570</v>
      </c>
      <c r="K61" s="188" t="n">
        <v>8580</v>
      </c>
      <c r="L61" s="188" t="n">
        <v>8593</v>
      </c>
      <c r="M61" s="188" t="n">
        <v>6653</v>
      </c>
      <c r="N61" s="188" t="n">
        <v>6671</v>
      </c>
      <c r="O61" s="188" t="n">
        <v>6688</v>
      </c>
      <c r="P61" s="188" t="n">
        <v>6701</v>
      </c>
      <c r="Q61" s="188" t="n">
        <v>6816</v>
      </c>
      <c r="R61" s="188" t="n">
        <v>6875</v>
      </c>
      <c r="S61" s="188" t="n">
        <v>6346</v>
      </c>
      <c r="T61" s="188">
        <f>VLOOKUP(H61,[5]Hoja3!$E$4:$F$84,2,0)</f>
        <v/>
      </c>
      <c r="U61" s="188" t="n">
        <v>6376</v>
      </c>
      <c r="V61" s="189" t="n">
        <v>6422</v>
      </c>
    </row>
    <row customHeight="1" ht="15" r="62">
      <c r="B62" s="623" t="n"/>
      <c r="C62" s="206" t="inlineStr">
        <is>
          <t>IN215</t>
        </is>
      </c>
      <c r="D62" s="266" t="inlineStr">
        <is>
          <t>SE0044</t>
        </is>
      </c>
      <c r="E62" s="267" t="inlineStr">
        <is>
          <t>ICA</t>
        </is>
      </c>
      <c r="F62" s="268" t="n">
        <v>2</v>
      </c>
      <c r="G62" s="629" t="n"/>
      <c r="H62" s="206" t="inlineStr">
        <is>
          <t>IN215</t>
        </is>
      </c>
      <c r="I62" s="291" t="inlineStr">
        <is>
          <t>EN SERVICIO</t>
        </is>
      </c>
      <c r="J62" s="188" t="n"/>
      <c r="K62" s="188" t="n"/>
      <c r="L62" s="188" t="n"/>
      <c r="M62" s="188" t="n"/>
      <c r="N62" s="188" t="n"/>
      <c r="O62" s="188" t="n"/>
      <c r="P62" s="188" t="n"/>
      <c r="Q62" s="188" t="n"/>
      <c r="R62" s="188" t="n"/>
      <c r="S62" s="188" t="n">
        <v>598</v>
      </c>
      <c r="T62" s="188">
        <f>VLOOKUP(H62,[5]Hoja3!$E$4:$F$84,2,0)</f>
        <v/>
      </c>
      <c r="U62" s="188" t="n">
        <v>664</v>
      </c>
      <c r="V62" s="189" t="n">
        <v>729</v>
      </c>
    </row>
    <row customHeight="1" ht="12.75" r="63" thickBot="1">
      <c r="B63" s="623" t="n"/>
      <c r="C63" s="259" t="inlineStr">
        <is>
          <t>IN216</t>
        </is>
      </c>
      <c r="D63" s="270" t="inlineStr">
        <is>
          <t>SE0044</t>
        </is>
      </c>
      <c r="E63" s="271" t="inlineStr">
        <is>
          <t>ICA</t>
        </is>
      </c>
      <c r="F63" s="272" t="n">
        <v>2</v>
      </c>
      <c r="G63" s="636" t="n"/>
      <c r="H63" s="259" t="inlineStr">
        <is>
          <t>IN216</t>
        </is>
      </c>
      <c r="I63" s="260" t="inlineStr">
        <is>
          <t>EN SERVICIO</t>
        </is>
      </c>
      <c r="J63" s="198" t="n"/>
      <c r="K63" s="198" t="n"/>
      <c r="L63" s="198" t="n"/>
      <c r="M63" s="198" t="n"/>
      <c r="N63" s="198" t="n"/>
      <c r="O63" s="198" t="n"/>
      <c r="P63" s="198" t="n"/>
      <c r="Q63" s="198" t="n"/>
      <c r="R63" s="198" t="n"/>
      <c r="S63" s="198" t="n">
        <v>32</v>
      </c>
      <c r="T63" s="198">
        <f>VLOOKUP(H63,[5]Hoja3!$E$4:$F$84,2,0)</f>
        <v/>
      </c>
      <c r="U63" s="198" t="n">
        <v>32</v>
      </c>
      <c r="V63" s="199" t="n">
        <v>32</v>
      </c>
    </row>
    <row customHeight="1" ht="15.75" r="64" thickTop="1">
      <c r="B64" s="623" t="n"/>
      <c r="C64" s="264" t="inlineStr">
        <is>
          <t>SM115</t>
        </is>
      </c>
      <c r="D64" s="261" t="inlineStr">
        <is>
          <t>SE2044</t>
        </is>
      </c>
      <c r="E64" s="262" t="inlineStr">
        <is>
          <t>SANTA MARGARITA</t>
        </is>
      </c>
      <c r="F64" s="263" t="n">
        <v>2</v>
      </c>
      <c r="G64" s="550" t="inlineStr">
        <is>
          <t>SET 42
SANTA MARGARITA</t>
        </is>
      </c>
      <c r="H64" s="264" t="inlineStr">
        <is>
          <t>SM115</t>
        </is>
      </c>
      <c r="I64" s="265" t="inlineStr">
        <is>
          <t>EN SERVICIO</t>
        </is>
      </c>
      <c r="J64" s="188" t="n">
        <v>360</v>
      </c>
      <c r="K64" s="188" t="n">
        <v>365</v>
      </c>
      <c r="L64" s="188" t="n">
        <v>365</v>
      </c>
      <c r="M64" s="188" t="n">
        <v>373</v>
      </c>
      <c r="N64" s="188" t="n">
        <v>376</v>
      </c>
      <c r="O64" s="188" t="n">
        <v>379</v>
      </c>
      <c r="P64" s="188" t="n">
        <v>379</v>
      </c>
      <c r="Q64" s="188" t="n">
        <v>385</v>
      </c>
      <c r="R64" s="188" t="n">
        <v>392</v>
      </c>
      <c r="S64" s="188" t="n">
        <v>403</v>
      </c>
      <c r="T64" s="188">
        <f>VLOOKUP(H64,[5]Hoja3!$E$4:$F$84,2,0)</f>
        <v/>
      </c>
      <c r="U64" s="188" t="n">
        <v>457</v>
      </c>
      <c r="V64" s="189" t="n">
        <v>458</v>
      </c>
    </row>
    <row customHeight="1" ht="15" r="65">
      <c r="B65" s="623" t="n"/>
      <c r="C65" s="185" t="inlineStr">
        <is>
          <t>SM116</t>
        </is>
      </c>
      <c r="D65" s="266" t="inlineStr">
        <is>
          <t>SE2044</t>
        </is>
      </c>
      <c r="E65" s="267" t="inlineStr">
        <is>
          <t>SANTA MARGARITA</t>
        </is>
      </c>
      <c r="F65" s="292" t="n">
        <v>2</v>
      </c>
      <c r="G65" s="629" t="n"/>
      <c r="H65" s="185" t="inlineStr">
        <is>
          <t>SM116</t>
        </is>
      </c>
      <c r="I65" s="220" t="inlineStr">
        <is>
          <t>EN SERVICIO</t>
        </is>
      </c>
      <c r="J65" s="188" t="n">
        <v>3151</v>
      </c>
      <c r="K65" s="188" t="n">
        <v>3182</v>
      </c>
      <c r="L65" s="188" t="n">
        <v>3197</v>
      </c>
      <c r="M65" s="188" t="n">
        <v>3271</v>
      </c>
      <c r="N65" s="188" t="n">
        <v>3279</v>
      </c>
      <c r="O65" s="188" t="n">
        <v>3290</v>
      </c>
      <c r="P65" s="188" t="n">
        <v>3312</v>
      </c>
      <c r="Q65" s="188" t="n">
        <v>3386</v>
      </c>
      <c r="R65" s="188" t="n">
        <v>3431</v>
      </c>
      <c r="S65" s="188" t="n">
        <v>3523</v>
      </c>
      <c r="T65" s="188">
        <f>VLOOKUP(H65,[5]Hoja3!$E$4:$F$84,2,0)</f>
        <v/>
      </c>
      <c r="U65" s="188" t="n">
        <v>3747</v>
      </c>
      <c r="V65" s="189" t="n">
        <v>3779</v>
      </c>
    </row>
    <row customHeight="1" ht="15" r="66">
      <c r="B66" s="623" t="n"/>
      <c r="C66" s="185" t="inlineStr">
        <is>
          <t>SM117</t>
        </is>
      </c>
      <c r="D66" s="266" t="inlineStr">
        <is>
          <t>SE2044</t>
        </is>
      </c>
      <c r="E66" s="267" t="inlineStr">
        <is>
          <t>SANTA MARGARITA</t>
        </is>
      </c>
      <c r="F66" s="292" t="n">
        <v>2</v>
      </c>
      <c r="G66" s="629" t="n"/>
      <c r="H66" s="185" t="inlineStr">
        <is>
          <t>SM117</t>
        </is>
      </c>
      <c r="I66" s="220" t="inlineStr">
        <is>
          <t>EN SERVICIO</t>
        </is>
      </c>
      <c r="J66" s="188" t="n">
        <v>4178</v>
      </c>
      <c r="K66" s="188" t="n">
        <v>4197</v>
      </c>
      <c r="L66" s="188" t="n">
        <v>4214</v>
      </c>
      <c r="M66" s="188" t="n">
        <v>4289</v>
      </c>
      <c r="N66" s="188" t="n">
        <v>4298</v>
      </c>
      <c r="O66" s="188" t="n">
        <v>4300</v>
      </c>
      <c r="P66" s="188" t="n">
        <v>4320</v>
      </c>
      <c r="Q66" s="188" t="n">
        <v>4359</v>
      </c>
      <c r="R66" s="188" t="n">
        <v>29</v>
      </c>
      <c r="S66" s="188" t="n">
        <v>4458</v>
      </c>
      <c r="T66" s="188">
        <f>VLOOKUP(H66,[5]Hoja3!$E$4:$F$84,2,0)</f>
        <v/>
      </c>
      <c r="U66" s="188" t="n">
        <v>4488</v>
      </c>
      <c r="V66" s="189" t="n">
        <v>4529</v>
      </c>
    </row>
    <row customHeight="1" ht="15" r="67">
      <c r="B67" s="623" t="n"/>
      <c r="C67" s="185" t="inlineStr">
        <is>
          <t>SM218</t>
        </is>
      </c>
      <c r="D67" s="266" t="inlineStr">
        <is>
          <t>SE2044</t>
        </is>
      </c>
      <c r="E67" s="267" t="inlineStr">
        <is>
          <t>SANTA MARGARITA</t>
        </is>
      </c>
      <c r="F67" s="292" t="n">
        <v>2</v>
      </c>
      <c r="G67" s="629" t="n"/>
      <c r="H67" s="185" t="inlineStr">
        <is>
          <t>SM218</t>
        </is>
      </c>
      <c r="I67" s="220" t="inlineStr">
        <is>
          <t>EN SERVICIO</t>
        </is>
      </c>
      <c r="J67" s="188" t="n">
        <v>4025</v>
      </c>
      <c r="K67" s="188" t="n">
        <v>4050</v>
      </c>
      <c r="L67" s="188" t="n">
        <v>4064</v>
      </c>
      <c r="M67" s="188" t="n">
        <v>4145</v>
      </c>
      <c r="N67" s="188" t="n">
        <v>4159</v>
      </c>
      <c r="O67" s="188" t="n">
        <v>4176</v>
      </c>
      <c r="P67" s="188" t="n">
        <v>4181</v>
      </c>
      <c r="Q67" s="188" t="n">
        <v>4259</v>
      </c>
      <c r="R67" s="188" t="n">
        <v>4295</v>
      </c>
      <c r="S67" s="188" t="n">
        <v>4351</v>
      </c>
      <c r="T67" s="188">
        <f>VLOOKUP(H67,[5]Hoja3!$E$4:$F$84,2,0)</f>
        <v/>
      </c>
      <c r="U67" s="188" t="n">
        <v>4363</v>
      </c>
      <c r="V67" s="189" t="n">
        <v>4391</v>
      </c>
    </row>
    <row customHeight="1" ht="15" r="68">
      <c r="B68" s="623" t="n"/>
      <c r="C68" s="185" t="inlineStr">
        <is>
          <t>SM119</t>
        </is>
      </c>
      <c r="D68" s="266" t="inlineStr">
        <is>
          <t>SE2044</t>
        </is>
      </c>
      <c r="E68" s="267" t="inlineStr">
        <is>
          <t>SANTA MARGARITA</t>
        </is>
      </c>
      <c r="F68" s="292" t="n">
        <v>2</v>
      </c>
      <c r="G68" s="629" t="n"/>
      <c r="H68" s="185" t="inlineStr">
        <is>
          <t>SM119</t>
        </is>
      </c>
      <c r="I68" s="220" t="inlineStr">
        <is>
          <t>EN SERVICIO</t>
        </is>
      </c>
      <c r="J68" s="188" t="n">
        <v>1</v>
      </c>
      <c r="K68" s="188" t="n">
        <v>1</v>
      </c>
      <c r="L68" s="188" t="n">
        <v>1</v>
      </c>
      <c r="M68" s="188" t="n">
        <v>1</v>
      </c>
      <c r="N68" s="188" t="n">
        <v>1</v>
      </c>
      <c r="O68" s="188" t="n">
        <v>1</v>
      </c>
      <c r="P68" s="188" t="n">
        <v>1</v>
      </c>
      <c r="Q68" s="188" t="n">
        <v>1</v>
      </c>
      <c r="R68" s="188" t="n">
        <v>1</v>
      </c>
      <c r="S68" s="188" t="n">
        <v>1</v>
      </c>
      <c r="T68" s="188">
        <f>VLOOKUP(H68,[5]Hoja3!$E$4:$F$84,2,0)</f>
        <v/>
      </c>
      <c r="U68" s="188" t="n">
        <v>1</v>
      </c>
      <c r="V68" s="189" t="n">
        <v>1</v>
      </c>
    </row>
    <row customHeight="1" ht="15.75" r="69" thickBot="1">
      <c r="B69" s="623" t="n"/>
      <c r="C69" s="259" t="inlineStr">
        <is>
          <t>SM220</t>
        </is>
      </c>
      <c r="D69" s="270" t="inlineStr">
        <is>
          <t>SE2044</t>
        </is>
      </c>
      <c r="E69" s="271" t="inlineStr">
        <is>
          <t>SANTA MARGARITA</t>
        </is>
      </c>
      <c r="F69" s="293" t="n">
        <v>2</v>
      </c>
      <c r="G69" s="636" t="n"/>
      <c r="H69" s="259" t="inlineStr">
        <is>
          <t>SM220</t>
        </is>
      </c>
      <c r="I69" s="260" t="inlineStr">
        <is>
          <t>EN SERVICIO</t>
        </is>
      </c>
      <c r="J69" s="198" t="n"/>
      <c r="K69" s="198" t="n"/>
      <c r="L69" s="198" t="n"/>
      <c r="M69" s="198" t="n"/>
      <c r="N69" s="198" t="n"/>
      <c r="O69" s="198" t="n"/>
      <c r="P69" s="198" t="n"/>
      <c r="Q69" s="198" t="n"/>
      <c r="R69" s="198" t="n"/>
      <c r="S69" s="198" t="n"/>
      <c r="T69" s="198" t="n"/>
      <c r="U69" s="198" t="n"/>
      <c r="V69" s="199" t="n"/>
    </row>
    <row customHeight="1" ht="12.75" r="70" thickTop="1">
      <c r="B70" s="623" t="n"/>
      <c r="C70" s="264" t="inlineStr">
        <is>
          <t>TA121</t>
        </is>
      </c>
      <c r="D70" s="294" t="inlineStr">
        <is>
          <t>SE0044</t>
        </is>
      </c>
      <c r="E70" s="295" t="inlineStr">
        <is>
          <t>ICA</t>
        </is>
      </c>
      <c r="F70" s="296" t="n">
        <v>2</v>
      </c>
      <c r="G70" s="550" t="inlineStr">
        <is>
          <t>SET 41
TACAMA</t>
        </is>
      </c>
      <c r="H70" s="264" t="inlineStr">
        <is>
          <t>TA121</t>
        </is>
      </c>
      <c r="I70" s="265" t="inlineStr">
        <is>
          <t>EN SERVICIO</t>
        </is>
      </c>
      <c r="J70" s="188" t="n">
        <v>2098</v>
      </c>
      <c r="K70" s="188" t="n">
        <v>2118</v>
      </c>
      <c r="L70" s="188" t="n">
        <v>2141</v>
      </c>
      <c r="M70" s="188" t="n">
        <v>2177</v>
      </c>
      <c r="N70" s="188" t="n">
        <v>2179</v>
      </c>
      <c r="O70" s="188" t="n">
        <v>2179</v>
      </c>
      <c r="P70" s="188" t="n">
        <v>2184</v>
      </c>
      <c r="Q70" s="188" t="n">
        <v>2234</v>
      </c>
      <c r="R70" s="188" t="n">
        <v>2260</v>
      </c>
      <c r="S70" s="188" t="n">
        <v>2301</v>
      </c>
      <c r="T70" s="188">
        <f>VLOOKUP(H70,[5]Hoja3!$E$4:$F$84,2,0)</f>
        <v/>
      </c>
      <c r="U70" s="188" t="n">
        <v>2319</v>
      </c>
      <c r="V70" s="189" t="n">
        <v>2328</v>
      </c>
    </row>
    <row customHeight="1" ht="15" r="71">
      <c r="B71" s="623" t="n"/>
      <c r="C71" s="185" t="inlineStr">
        <is>
          <t>TA122</t>
        </is>
      </c>
      <c r="D71" s="297" t="inlineStr">
        <is>
          <t>SE3044</t>
        </is>
      </c>
      <c r="E71" s="298" t="inlineStr">
        <is>
          <t>TACAMA</t>
        </is>
      </c>
      <c r="F71" s="299" t="n">
        <v>2</v>
      </c>
      <c r="G71" s="629" t="n"/>
      <c r="H71" s="185" t="inlineStr">
        <is>
          <t>TA122</t>
        </is>
      </c>
      <c r="I71" s="220" t="inlineStr">
        <is>
          <t>EN SERVICIO</t>
        </is>
      </c>
      <c r="J71" s="188" t="n">
        <v>1711</v>
      </c>
      <c r="K71" s="188" t="n">
        <v>1733</v>
      </c>
      <c r="L71" s="188" t="n">
        <v>1739</v>
      </c>
      <c r="M71" s="188" t="n">
        <v>1756</v>
      </c>
      <c r="N71" s="188" t="n">
        <v>1759</v>
      </c>
      <c r="O71" s="188" t="n">
        <v>1759</v>
      </c>
      <c r="P71" s="188" t="n">
        <v>1763</v>
      </c>
      <c r="Q71" s="188" t="n">
        <v>1793</v>
      </c>
      <c r="R71" s="188" t="n">
        <v>1803</v>
      </c>
      <c r="S71" s="188" t="n">
        <v>1824</v>
      </c>
      <c r="T71" s="188">
        <f>VLOOKUP(H71,[5]Hoja3!$E$4:$F$84,2,0)</f>
        <v/>
      </c>
      <c r="U71" s="188" t="n">
        <v>1843</v>
      </c>
      <c r="V71" s="189" t="n">
        <v>1864</v>
      </c>
    </row>
    <row customHeight="1" ht="15" r="72">
      <c r="B72" s="623" t="n"/>
      <c r="C72" s="185" t="inlineStr">
        <is>
          <t>TA123</t>
        </is>
      </c>
      <c r="D72" s="266" t="inlineStr">
        <is>
          <t>SE3044</t>
        </is>
      </c>
      <c r="E72" s="267" t="inlineStr">
        <is>
          <t>TACAMA</t>
        </is>
      </c>
      <c r="F72" s="268" t="n">
        <v>2</v>
      </c>
      <c r="G72" s="629" t="n"/>
      <c r="H72" s="185" t="inlineStr">
        <is>
          <t>TA123</t>
        </is>
      </c>
      <c r="I72" s="220" t="inlineStr">
        <is>
          <t>EN SERVICIO</t>
        </is>
      </c>
      <c r="J72" s="188" t="n">
        <v>827</v>
      </c>
      <c r="K72" s="188" t="n">
        <v>828</v>
      </c>
      <c r="L72" s="188" t="n">
        <v>826</v>
      </c>
      <c r="M72" s="188" t="n">
        <v>828</v>
      </c>
      <c r="N72" s="188" t="n">
        <v>830</v>
      </c>
      <c r="O72" s="188" t="n">
        <v>826</v>
      </c>
      <c r="P72" s="188" t="n">
        <v>828</v>
      </c>
      <c r="Q72" s="188" t="n">
        <v>843</v>
      </c>
      <c r="R72" s="188" t="n">
        <v>850</v>
      </c>
      <c r="S72" s="188" t="n">
        <v>856</v>
      </c>
      <c r="T72" s="188">
        <f>VLOOKUP(H72,[5]Hoja3!$E$4:$F$84,2,0)</f>
        <v/>
      </c>
      <c r="U72" s="188" t="n">
        <v>799</v>
      </c>
      <c r="V72" s="189" t="n">
        <v>800</v>
      </c>
    </row>
    <row customHeight="1" ht="15" r="73">
      <c r="B73" s="623" t="n"/>
      <c r="C73" s="206" t="inlineStr">
        <is>
          <t>TA124</t>
        </is>
      </c>
      <c r="D73" s="300" t="inlineStr">
        <is>
          <t>SE3044</t>
        </is>
      </c>
      <c r="E73" s="301" t="inlineStr">
        <is>
          <t>TACAMA</t>
        </is>
      </c>
      <c r="F73" s="302" t="n">
        <v>2</v>
      </c>
      <c r="G73" s="629" t="n"/>
      <c r="H73" s="206" t="inlineStr">
        <is>
          <t>TA124</t>
        </is>
      </c>
      <c r="I73" s="291" t="inlineStr">
        <is>
          <t>EN SERVICIO</t>
        </is>
      </c>
      <c r="J73" s="212" t="n">
        <v>1</v>
      </c>
      <c r="K73" s="212" t="n">
        <v>1</v>
      </c>
      <c r="L73" s="212" t="n">
        <v>1</v>
      </c>
      <c r="M73" s="212" t="n">
        <v>1</v>
      </c>
      <c r="N73" s="212" t="n">
        <v>1</v>
      </c>
      <c r="O73" s="212" t="n">
        <v>1</v>
      </c>
      <c r="P73" s="212" t="n">
        <v>1</v>
      </c>
      <c r="Q73" s="212" t="n">
        <v>1</v>
      </c>
      <c r="R73" s="212" t="n">
        <v>1</v>
      </c>
      <c r="S73" s="212" t="n">
        <v>1</v>
      </c>
      <c r="T73" s="212">
        <f>VLOOKUP(H73,[5]Hoja3!$E$4:$F$84,2,0)</f>
        <v/>
      </c>
      <c r="U73" s="212" t="n">
        <v>1</v>
      </c>
      <c r="V73" s="189" t="n">
        <v>1</v>
      </c>
    </row>
    <row customHeight="1" ht="15.75" r="74" thickBot="1">
      <c r="B74" s="623" t="n"/>
      <c r="C74" s="259" t="inlineStr">
        <is>
          <t>TA225</t>
        </is>
      </c>
      <c r="D74" s="270" t="inlineStr">
        <is>
          <t>SE0044</t>
        </is>
      </c>
      <c r="E74" s="271" t="inlineStr">
        <is>
          <t>ICA</t>
        </is>
      </c>
      <c r="F74" s="272" t="n">
        <v>2</v>
      </c>
      <c r="G74" s="636" t="n"/>
      <c r="H74" s="259" t="inlineStr">
        <is>
          <t>TA225</t>
        </is>
      </c>
      <c r="I74" s="260" t="inlineStr">
        <is>
          <t>EN SERVICIO</t>
        </is>
      </c>
      <c r="J74" s="198" t="n">
        <v>11</v>
      </c>
      <c r="K74" s="198" t="n">
        <v>11</v>
      </c>
      <c r="L74" s="198" t="n">
        <v>11</v>
      </c>
      <c r="M74" s="198" t="n">
        <v>11</v>
      </c>
      <c r="N74" s="198" t="n">
        <v>11</v>
      </c>
      <c r="O74" s="198" t="n">
        <v>11</v>
      </c>
      <c r="P74" s="198" t="n">
        <v>13</v>
      </c>
      <c r="Q74" s="198" t="n">
        <v>13</v>
      </c>
      <c r="R74" s="198" t="n">
        <v>13</v>
      </c>
      <c r="S74" s="198" t="n">
        <v>12</v>
      </c>
      <c r="T74" s="198">
        <f>VLOOKUP(H74,[5]Hoja3!$E$4:$F$84,2,0)</f>
        <v/>
      </c>
      <c r="U74" s="198" t="n">
        <v>78</v>
      </c>
      <c r="V74" s="199" t="n">
        <v>78</v>
      </c>
    </row>
    <row customHeight="1" ht="15.75" r="75" thickTop="1">
      <c r="B75" s="623" t="n"/>
      <c r="C75" s="185" t="inlineStr">
        <is>
          <t>SL141</t>
        </is>
      </c>
      <c r="D75" s="261" t="inlineStr">
        <is>
          <t>SE0044</t>
        </is>
      </c>
      <c r="E75" s="262" t="inlineStr">
        <is>
          <t>ICA</t>
        </is>
      </c>
      <c r="F75" s="263" t="n">
        <v>2</v>
      </c>
      <c r="G75" s="637" t="inlineStr">
        <is>
          <t>SET 46
SEÑOR DE
LUREN</t>
        </is>
      </c>
      <c r="H75" s="185" t="inlineStr">
        <is>
          <t>SL141</t>
        </is>
      </c>
      <c r="I75" s="265" t="inlineStr">
        <is>
          <t>EN SERVICIO</t>
        </is>
      </c>
      <c r="J75" s="188" t="n">
        <v>8775</v>
      </c>
      <c r="K75" s="188" t="n">
        <v>8776</v>
      </c>
      <c r="L75" s="188" t="n">
        <v>8776</v>
      </c>
      <c r="M75" s="188" t="n">
        <v>8435</v>
      </c>
      <c r="N75" s="188" t="n">
        <v>8441</v>
      </c>
      <c r="O75" s="188" t="n">
        <v>8427</v>
      </c>
      <c r="P75" s="188" t="n">
        <v>8436</v>
      </c>
      <c r="Q75" s="188" t="n">
        <v>8496</v>
      </c>
      <c r="R75" s="188" t="n">
        <v>8505</v>
      </c>
      <c r="S75" s="188" t="n">
        <v>8553</v>
      </c>
      <c r="T75" s="188">
        <f>VLOOKUP(H75,[5]Hoja3!$E$4:$F$84,2,0)</f>
        <v/>
      </c>
      <c r="U75" s="188" t="n">
        <v>5750</v>
      </c>
      <c r="V75" s="189" t="n">
        <v>5766</v>
      </c>
    </row>
    <row customHeight="1" ht="15" r="76">
      <c r="B76" s="623" t="n"/>
      <c r="C76" s="185" t="inlineStr">
        <is>
          <t>SL142</t>
        </is>
      </c>
      <c r="D76" s="266" t="inlineStr">
        <is>
          <t>SE0044</t>
        </is>
      </c>
      <c r="E76" s="267" t="inlineStr">
        <is>
          <t>ICA</t>
        </is>
      </c>
      <c r="F76" s="268" t="n">
        <v>2</v>
      </c>
      <c r="G76" s="626" t="n"/>
      <c r="H76" s="185" t="inlineStr">
        <is>
          <t>SL142</t>
        </is>
      </c>
      <c r="I76" s="220" t="inlineStr">
        <is>
          <t>EN SERVICIO</t>
        </is>
      </c>
      <c r="J76" s="188" t="n">
        <v>2881</v>
      </c>
      <c r="K76" s="188" t="n">
        <v>2885</v>
      </c>
      <c r="L76" s="188" t="n">
        <v>2884</v>
      </c>
      <c r="M76" s="188" t="n">
        <v>3071</v>
      </c>
      <c r="N76" s="188" t="n">
        <v>3073</v>
      </c>
      <c r="O76" s="188" t="n">
        <v>3071</v>
      </c>
      <c r="P76" s="188" t="n">
        <v>3075</v>
      </c>
      <c r="Q76" s="188" t="n">
        <v>3075</v>
      </c>
      <c r="R76" s="188" t="n">
        <v>3071</v>
      </c>
      <c r="S76" s="188" t="n">
        <v>3041</v>
      </c>
      <c r="T76" s="188">
        <f>VLOOKUP(H76,[5]Hoja3!$E$4:$F$84,2,0)</f>
        <v/>
      </c>
      <c r="U76" s="188" t="n">
        <v>3035</v>
      </c>
      <c r="V76" s="189" t="n">
        <v>3040</v>
      </c>
    </row>
    <row customHeight="1" ht="15" r="77">
      <c r="B77" s="623" t="n"/>
      <c r="C77" s="185" t="inlineStr">
        <is>
          <t>SL143</t>
        </is>
      </c>
      <c r="D77" s="300" t="inlineStr">
        <is>
          <t>SE0044</t>
        </is>
      </c>
      <c r="E77" s="301" t="inlineStr">
        <is>
          <t>ICA</t>
        </is>
      </c>
      <c r="F77" s="302" t="n">
        <v>2</v>
      </c>
      <c r="G77" s="626" t="n"/>
      <c r="H77" s="185" t="inlineStr">
        <is>
          <t>SL143</t>
        </is>
      </c>
      <c r="I77" s="220" t="inlineStr">
        <is>
          <t>EN SERVICIO</t>
        </is>
      </c>
      <c r="J77" s="188" t="n">
        <v>9208</v>
      </c>
      <c r="K77" s="188" t="n">
        <v>9423</v>
      </c>
      <c r="L77" s="188" t="n">
        <v>9485</v>
      </c>
      <c r="M77" s="188" t="n">
        <v>9672</v>
      </c>
      <c r="N77" s="188" t="n">
        <v>9700</v>
      </c>
      <c r="O77" s="188" t="n">
        <v>9737</v>
      </c>
      <c r="P77" s="188" t="n">
        <v>9759</v>
      </c>
      <c r="Q77" s="188" t="n">
        <v>9890</v>
      </c>
      <c r="R77" s="188" t="n">
        <v>9976</v>
      </c>
      <c r="S77" s="188" t="n">
        <v>10179</v>
      </c>
      <c r="T77" s="188">
        <f>VLOOKUP(H77,[5]Hoja3!$E$4:$F$84,2,0)</f>
        <v/>
      </c>
      <c r="U77" s="188" t="n">
        <v>10687</v>
      </c>
      <c r="V77" s="189" t="n">
        <v>10866</v>
      </c>
    </row>
    <row customHeight="1" ht="15" r="78">
      <c r="B78" s="623" t="n"/>
      <c r="C78" s="185" t="inlineStr">
        <is>
          <t>SL144</t>
        </is>
      </c>
      <c r="D78" s="300" t="inlineStr">
        <is>
          <t>SE2044</t>
        </is>
      </c>
      <c r="E78" s="301" t="inlineStr">
        <is>
          <t>SANTA MARGARITA</t>
        </is>
      </c>
      <c r="F78" s="302" t="n">
        <v>2</v>
      </c>
      <c r="G78" s="626" t="n"/>
      <c r="H78" s="185" t="inlineStr">
        <is>
          <t>SL144</t>
        </is>
      </c>
      <c r="I78" s="220" t="inlineStr">
        <is>
          <t>EN SERVICIO</t>
        </is>
      </c>
      <c r="J78" s="188" t="n">
        <v>2201</v>
      </c>
      <c r="K78" s="188" t="n">
        <v>2228</v>
      </c>
      <c r="L78" s="188" t="n">
        <v>2243</v>
      </c>
      <c r="M78" s="188" t="n">
        <v>339</v>
      </c>
      <c r="N78" s="188" t="n">
        <v>340</v>
      </c>
      <c r="O78" s="188" t="n">
        <v>342</v>
      </c>
      <c r="P78" s="188" t="n">
        <v>345</v>
      </c>
      <c r="Q78" s="188" t="n">
        <v>353</v>
      </c>
      <c r="R78" s="188" t="n">
        <v>4721</v>
      </c>
      <c r="S78" s="188" t="n">
        <v>373</v>
      </c>
      <c r="T78" s="188">
        <f>VLOOKUP(H78,[5]Hoja3!$E$4:$F$84,2,0)</f>
        <v/>
      </c>
      <c r="U78" s="188" t="n">
        <v>402</v>
      </c>
      <c r="V78" s="189" t="n">
        <v>416</v>
      </c>
    </row>
    <row customHeight="1" ht="15" r="79">
      <c r="B79" s="623" t="n"/>
      <c r="C79" s="185" t="inlineStr">
        <is>
          <t>SL145</t>
        </is>
      </c>
      <c r="D79" s="303" t="inlineStr">
        <is>
          <t>SE2044</t>
        </is>
      </c>
      <c r="E79" s="304" t="inlineStr">
        <is>
          <t>SANTA MARGARITA</t>
        </is>
      </c>
      <c r="F79" s="302" t="n">
        <v>2</v>
      </c>
      <c r="G79" s="626" t="n"/>
      <c r="H79" s="185" t="inlineStr">
        <is>
          <t>SL145</t>
        </is>
      </c>
      <c r="I79" s="220" t="inlineStr">
        <is>
          <t>EN SERVICIO</t>
        </is>
      </c>
      <c r="J79" s="188" t="n"/>
      <c r="K79" s="188" t="n"/>
      <c r="L79" s="188" t="n"/>
      <c r="M79" s="188" t="n">
        <v>1963</v>
      </c>
      <c r="N79" s="188" t="n">
        <v>1968</v>
      </c>
      <c r="O79" s="188" t="n">
        <v>1976</v>
      </c>
      <c r="P79" s="188" t="n">
        <v>1980</v>
      </c>
      <c r="Q79" s="188" t="n">
        <v>2010</v>
      </c>
      <c r="R79" s="188" t="n">
        <v>2029</v>
      </c>
      <c r="S79" s="188" t="n">
        <v>2048</v>
      </c>
      <c r="T79" s="188">
        <f>VLOOKUP(H79,[5]Hoja3!$E$4:$F$84,2,0)</f>
        <v/>
      </c>
      <c r="U79" s="188" t="n">
        <v>2148</v>
      </c>
      <c r="V79" s="189" t="n">
        <v>2163</v>
      </c>
    </row>
    <row customHeight="1" ht="15" r="80">
      <c r="B80" s="623" t="n"/>
      <c r="C80" s="185" t="inlineStr">
        <is>
          <t>SL201</t>
        </is>
      </c>
      <c r="D80" s="303" t="inlineStr">
        <is>
          <t>SE2044</t>
        </is>
      </c>
      <c r="E80" s="304" t="inlineStr">
        <is>
          <t>SANTA MARGARITA</t>
        </is>
      </c>
      <c r="F80" s="302" t="n">
        <v>2</v>
      </c>
      <c r="G80" s="626" t="n"/>
      <c r="H80" s="185" t="inlineStr">
        <is>
          <t>SL201</t>
        </is>
      </c>
      <c r="I80" s="220" t="inlineStr">
        <is>
          <t>EN SERVICIO</t>
        </is>
      </c>
      <c r="J80" s="188" t="n"/>
      <c r="K80" s="188" t="n"/>
      <c r="L80" s="188" t="n"/>
      <c r="M80" s="188" t="n"/>
      <c r="N80" s="188" t="n"/>
      <c r="O80" s="188" t="n"/>
      <c r="P80" s="188" t="n"/>
      <c r="Q80" s="188" t="n"/>
      <c r="R80" s="188" t="n"/>
      <c r="S80" s="188" t="n"/>
      <c r="T80" s="188" t="n"/>
      <c r="U80" s="188" t="n"/>
      <c r="V80" s="189" t="n"/>
    </row>
    <row customHeight="1" ht="15.75" r="81" thickBot="1">
      <c r="B81" s="631" t="n"/>
      <c r="C81" s="306" t="inlineStr">
        <is>
          <t>SL146</t>
        </is>
      </c>
      <c r="D81" s="270" t="inlineStr">
        <is>
          <t>SE0044</t>
        </is>
      </c>
      <c r="E81" s="271" t="inlineStr">
        <is>
          <t>ICA</t>
        </is>
      </c>
      <c r="F81" s="305" t="n">
        <v>2</v>
      </c>
      <c r="G81" s="638" t="n"/>
      <c r="H81" s="306" t="inlineStr">
        <is>
          <t>SL146</t>
        </is>
      </c>
      <c r="I81" s="260" t="inlineStr">
        <is>
          <t>EN SERVICIO</t>
        </is>
      </c>
      <c r="J81" s="260" t="n"/>
      <c r="K81" s="260" t="n"/>
      <c r="L81" s="260" t="n"/>
      <c r="M81" s="260" t="n">
        <v>222</v>
      </c>
      <c r="N81" s="260" t="n">
        <v>222</v>
      </c>
      <c r="O81" s="260" t="n">
        <v>225</v>
      </c>
      <c r="P81" s="260" t="n">
        <v>225</v>
      </c>
      <c r="Q81" s="260" t="n">
        <v>226</v>
      </c>
      <c r="R81" s="260" t="n">
        <v>225</v>
      </c>
      <c r="S81" s="260" t="n">
        <v>233</v>
      </c>
      <c r="T81" s="260">
        <f>VLOOKUP(H81,[5]Hoja3!$E$4:$F$84,2,0)</f>
        <v/>
      </c>
      <c r="U81" s="260" t="n">
        <v>232</v>
      </c>
      <c r="V81" s="189" t="n">
        <v>235</v>
      </c>
    </row>
    <row customHeight="1" ht="12.75" r="82" thickBot="1" thickTop="1">
      <c r="B82" s="533" t="inlineStr">
        <is>
          <t>NASCA</t>
        </is>
      </c>
      <c r="C82" s="200" t="inlineStr">
        <is>
          <t>NA101</t>
        </is>
      </c>
      <c r="D82" s="287" t="inlineStr">
        <is>
          <t>SE1045</t>
        </is>
      </c>
      <c r="E82" s="288" t="inlineStr">
        <is>
          <t>NASCA</t>
        </is>
      </c>
      <c r="F82" s="289" t="n">
        <v>2</v>
      </c>
      <c r="G82" s="528" t="inlineStr">
        <is>
          <t>SET 51
NASCA</t>
        </is>
      </c>
      <c r="H82" s="200" t="inlineStr">
        <is>
          <t>NA101</t>
        </is>
      </c>
      <c r="I82" s="240" t="inlineStr">
        <is>
          <t>EN SERVICIO</t>
        </is>
      </c>
      <c r="J82" s="240" t="n">
        <v>5148</v>
      </c>
      <c r="K82" s="240" t="n">
        <v>5159</v>
      </c>
      <c r="L82" s="240" t="n">
        <v>5197</v>
      </c>
      <c r="M82" s="240" t="n">
        <v>5194</v>
      </c>
      <c r="N82" s="240" t="n">
        <v>5200</v>
      </c>
      <c r="O82" s="240" t="n">
        <v>5203</v>
      </c>
      <c r="P82" s="240" t="n">
        <v>5220</v>
      </c>
      <c r="Q82" s="240" t="n">
        <v>5275</v>
      </c>
      <c r="R82" s="240" t="n">
        <v>5338</v>
      </c>
      <c r="S82" s="240" t="n">
        <v>5379</v>
      </c>
      <c r="T82" s="240">
        <f>VLOOKUP(H82,[5]Hoja3!$E$4:$F$84,2,0)</f>
        <v/>
      </c>
      <c r="U82" s="240" t="n">
        <v>5431</v>
      </c>
      <c r="V82" s="189" t="n">
        <v>5501</v>
      </c>
    </row>
    <row customHeight="1" ht="13.5" r="83" thickBot="1" thickTop="1">
      <c r="B83" s="623" t="n"/>
      <c r="C83" s="308" t="inlineStr">
        <is>
          <t>NA102</t>
        </is>
      </c>
      <c r="D83" s="266" t="inlineStr">
        <is>
          <t>SE1045</t>
        </is>
      </c>
      <c r="E83" s="267" t="inlineStr">
        <is>
          <t>NASCA</t>
        </is>
      </c>
      <c r="F83" s="268" t="n">
        <v>2</v>
      </c>
      <c r="G83" s="629" t="n"/>
      <c r="H83" s="308" t="inlineStr">
        <is>
          <t>NA102</t>
        </is>
      </c>
      <c r="I83" s="220" t="inlineStr">
        <is>
          <t>EN SERVICIO</t>
        </is>
      </c>
      <c r="J83" s="188" t="n">
        <v>8539</v>
      </c>
      <c r="K83" s="188" t="n">
        <v>8627</v>
      </c>
      <c r="L83" s="188" t="n">
        <v>8728</v>
      </c>
      <c r="M83" s="188" t="n">
        <v>8903</v>
      </c>
      <c r="N83" s="188" t="n">
        <v>8913</v>
      </c>
      <c r="O83" s="188" t="n">
        <v>8893</v>
      </c>
      <c r="P83" s="188" t="n">
        <v>8940</v>
      </c>
      <c r="Q83" s="188" t="n">
        <v>9056</v>
      </c>
      <c r="R83" s="188" t="n">
        <v>9185</v>
      </c>
      <c r="S83" s="188" t="n">
        <v>9226</v>
      </c>
      <c r="T83" s="188">
        <f>VLOOKUP(H83,[5]Hoja3!$E$4:$F$84,2,0)</f>
        <v/>
      </c>
      <c r="U83" s="188" t="n">
        <v>9359</v>
      </c>
      <c r="V83" s="189" t="n">
        <v>9543</v>
      </c>
    </row>
    <row customHeight="1" ht="13.5" r="84" thickBot="1" thickTop="1">
      <c r="B84" s="623" t="n"/>
      <c r="C84" s="309" t="inlineStr">
        <is>
          <t>NA203</t>
        </is>
      </c>
      <c r="D84" s="266" t="inlineStr">
        <is>
          <t>SE2045</t>
        </is>
      </c>
      <c r="E84" s="267" t="inlineStr">
        <is>
          <t>NASCA Rural</t>
        </is>
      </c>
      <c r="F84" s="268" t="n">
        <v>3</v>
      </c>
      <c r="G84" s="629" t="n"/>
      <c r="H84" s="309" t="inlineStr">
        <is>
          <t>NA203</t>
        </is>
      </c>
      <c r="I84" s="220" t="inlineStr">
        <is>
          <t>EN SERVICIO</t>
        </is>
      </c>
      <c r="J84" s="188" t="n">
        <v>1161</v>
      </c>
      <c r="K84" s="188" t="n">
        <v>1176</v>
      </c>
      <c r="L84" s="188" t="n">
        <v>1189</v>
      </c>
      <c r="M84" s="188" t="n">
        <v>1226</v>
      </c>
      <c r="N84" s="188" t="n">
        <v>1230</v>
      </c>
      <c r="O84" s="188" t="n">
        <v>1227</v>
      </c>
      <c r="P84" s="188" t="n">
        <v>1236</v>
      </c>
      <c r="Q84" s="188" t="n">
        <v>1273</v>
      </c>
      <c r="R84" s="188" t="n">
        <v>1332</v>
      </c>
      <c r="S84" s="188" t="n">
        <v>1355</v>
      </c>
      <c r="T84" s="188">
        <f>VLOOKUP(H84,[5]Hoja3!$E$4:$F$84,2,0)</f>
        <v/>
      </c>
      <c r="U84" s="188" t="n">
        <v>1412</v>
      </c>
      <c r="V84" s="189" t="n">
        <v>1451</v>
      </c>
    </row>
    <row customHeight="1" ht="13.5" r="85" thickBot="1" thickTop="1">
      <c r="B85" s="623" t="n"/>
      <c r="C85" s="309" t="inlineStr">
        <is>
          <t>NA104</t>
        </is>
      </c>
      <c r="D85" s="266" t="inlineStr">
        <is>
          <t>SE2045</t>
        </is>
      </c>
      <c r="E85" s="267" t="inlineStr">
        <is>
          <t>NASCA Rural</t>
        </is>
      </c>
      <c r="F85" s="268" t="n">
        <v>3</v>
      </c>
      <c r="G85" s="629" t="n"/>
      <c r="H85" s="309" t="inlineStr">
        <is>
          <t>NA104</t>
        </is>
      </c>
      <c r="I85" s="291" t="inlineStr">
        <is>
          <t>EN SERVICIO</t>
        </is>
      </c>
      <c r="J85" s="212" t="n">
        <v>186</v>
      </c>
      <c r="K85" s="212" t="n">
        <v>187</v>
      </c>
      <c r="L85" s="212" t="n">
        <v>187</v>
      </c>
      <c r="M85" s="212" t="n">
        <v>187</v>
      </c>
      <c r="N85" s="212" t="n">
        <v>187</v>
      </c>
      <c r="O85" s="212" t="n">
        <v>186</v>
      </c>
      <c r="P85" s="212" t="n">
        <v>186</v>
      </c>
      <c r="Q85" s="212" t="n">
        <v>188</v>
      </c>
      <c r="R85" s="212" t="n">
        <v>192</v>
      </c>
      <c r="S85" s="212" t="n">
        <v>192</v>
      </c>
      <c r="T85" s="212">
        <f>VLOOKUP(H85,[5]Hoja3!$E$4:$F$84,2,0)</f>
        <v/>
      </c>
      <c r="U85" s="212" t="n">
        <v>191</v>
      </c>
      <c r="V85" s="213" t="n">
        <v>192</v>
      </c>
    </row>
    <row customHeight="1" ht="14.25" r="86" thickBot="1" thickTop="1">
      <c r="B86" s="623" t="n"/>
      <c r="C86" s="259" t="inlineStr">
        <is>
          <t>NA205</t>
        </is>
      </c>
      <c r="D86" s="270" t="inlineStr">
        <is>
          <t>SE1045</t>
        </is>
      </c>
      <c r="E86" s="271" t="inlineStr">
        <is>
          <t>NASCA</t>
        </is>
      </c>
      <c r="F86" s="272" t="n">
        <v>2</v>
      </c>
      <c r="G86" s="630" t="n"/>
      <c r="H86" s="259" t="inlineStr">
        <is>
          <t>NA205</t>
        </is>
      </c>
      <c r="I86" s="260" t="inlineStr">
        <is>
          <t>EN SERVICIO</t>
        </is>
      </c>
      <c r="J86" s="198" t="n"/>
      <c r="K86" s="198" t="n"/>
      <c r="L86" s="198" t="n"/>
      <c r="M86" s="198" t="n"/>
      <c r="N86" s="198" t="n"/>
      <c r="O86" s="198" t="n"/>
      <c r="P86" s="198" t="n"/>
      <c r="Q86" s="198" t="n"/>
      <c r="R86" s="198" t="n"/>
      <c r="S86" s="198" t="n">
        <v>52</v>
      </c>
      <c r="T86" s="198">
        <f>VLOOKUP(H86,[5]Hoja3!$E$4:$F$84,2,0)</f>
        <v/>
      </c>
      <c r="U86" s="198" t="n">
        <v>52</v>
      </c>
      <c r="V86" s="199" t="n">
        <v>53</v>
      </c>
    </row>
    <row customHeight="1" ht="14.25" r="87" thickBot="1" thickTop="1">
      <c r="B87" s="623" t="n"/>
      <c r="C87" s="264" t="inlineStr">
        <is>
          <t>LL101</t>
        </is>
      </c>
      <c r="D87" s="310" t="inlineStr">
        <is>
          <t>SE3045</t>
        </is>
      </c>
      <c r="E87" s="311" t="inlineStr">
        <is>
          <t>PALPA</t>
        </is>
      </c>
      <c r="F87" s="312" t="n">
        <v>2</v>
      </c>
      <c r="G87" s="550" t="inlineStr">
        <is>
          <t>SET 52
LLIPATA</t>
        </is>
      </c>
      <c r="H87" s="264" t="inlineStr">
        <is>
          <t>LL101</t>
        </is>
      </c>
      <c r="I87" s="265" t="inlineStr">
        <is>
          <t>EN SERVICIO</t>
        </is>
      </c>
      <c r="J87" s="188" t="n">
        <v>3025</v>
      </c>
      <c r="K87" s="188" t="n">
        <v>3043</v>
      </c>
      <c r="L87" s="188" t="n">
        <v>3077</v>
      </c>
      <c r="M87" s="188" t="n">
        <v>3124</v>
      </c>
      <c r="N87" s="188" t="n">
        <v>3127</v>
      </c>
      <c r="O87" s="188" t="n">
        <v>3134</v>
      </c>
      <c r="P87" s="188" t="n">
        <v>3137</v>
      </c>
      <c r="Q87" s="188" t="n">
        <v>3182</v>
      </c>
      <c r="R87" s="188" t="n">
        <v>3221</v>
      </c>
      <c r="S87" s="188" t="n">
        <v>3267</v>
      </c>
      <c r="T87" s="188">
        <f>VLOOKUP(H87,[5]Hoja3!$E$4:$F$84,2,0)</f>
        <v/>
      </c>
      <c r="U87" s="188" t="n">
        <v>3311</v>
      </c>
      <c r="V87" s="189" t="n">
        <v>3349</v>
      </c>
    </row>
    <row customHeight="1" ht="12.75" r="88" thickBot="1" thickTop="1">
      <c r="B88" s="623" t="n"/>
      <c r="C88" s="185" t="inlineStr">
        <is>
          <t>LL202</t>
        </is>
      </c>
      <c r="D88" s="313" t="inlineStr">
        <is>
          <t>SE0246</t>
        </is>
      </c>
      <c r="E88" s="314" t="inlineStr">
        <is>
          <t>PALPA RURAL</t>
        </is>
      </c>
      <c r="F88" s="315" t="n">
        <v>4</v>
      </c>
      <c r="G88" s="629" t="n"/>
      <c r="H88" s="185" t="inlineStr">
        <is>
          <t>LL202</t>
        </is>
      </c>
      <c r="I88" s="220" t="inlineStr">
        <is>
          <t>EN SERVICIO</t>
        </is>
      </c>
      <c r="J88" s="188" t="n">
        <v>1892</v>
      </c>
      <c r="K88" s="188" t="n">
        <v>1895</v>
      </c>
      <c r="L88" s="188" t="n">
        <v>1902</v>
      </c>
      <c r="M88" s="188" t="n">
        <v>1937</v>
      </c>
      <c r="N88" s="188" t="n">
        <v>1938</v>
      </c>
      <c r="O88" s="188" t="n">
        <v>1945</v>
      </c>
      <c r="P88" s="188" t="n">
        <v>1948</v>
      </c>
      <c r="Q88" s="188" t="n">
        <v>1977</v>
      </c>
      <c r="R88" s="188" t="n">
        <v>2012</v>
      </c>
      <c r="S88" s="188" t="n">
        <v>2026</v>
      </c>
      <c r="T88" s="188">
        <f>VLOOKUP(H88,[5]Hoja3!$E$4:$F$84,2,0)</f>
        <v/>
      </c>
      <c r="U88" s="188" t="n">
        <v>2076</v>
      </c>
      <c r="V88" s="189" t="n">
        <v>2092</v>
      </c>
    </row>
    <row customHeight="1" ht="14.25" r="89" thickBot="1" thickTop="1">
      <c r="B89" s="623" t="n"/>
      <c r="C89" s="185" t="inlineStr">
        <is>
          <t>LL203</t>
        </is>
      </c>
      <c r="D89" s="266" t="inlineStr">
        <is>
          <t>SE0246</t>
        </is>
      </c>
      <c r="E89" s="267" t="inlineStr">
        <is>
          <t>PALPA RURAL</t>
        </is>
      </c>
      <c r="F89" s="268" t="n">
        <v>4</v>
      </c>
      <c r="G89" s="629" t="n"/>
      <c r="H89" s="185" t="inlineStr">
        <is>
          <t>LL203</t>
        </is>
      </c>
      <c r="I89" s="220" t="inlineStr">
        <is>
          <t>EN SERVICIO</t>
        </is>
      </c>
      <c r="J89" s="188" t="n">
        <v>2617</v>
      </c>
      <c r="K89" s="188" t="n">
        <v>2626</v>
      </c>
      <c r="L89" s="188" t="n">
        <v>2662</v>
      </c>
      <c r="M89" s="188" t="n">
        <v>2708</v>
      </c>
      <c r="N89" s="188" t="n">
        <v>2710</v>
      </c>
      <c r="O89" s="188" t="n">
        <v>2682</v>
      </c>
      <c r="P89" s="188" t="n">
        <v>2687</v>
      </c>
      <c r="Q89" s="188" t="n">
        <v>2721</v>
      </c>
      <c r="R89" s="188" t="n">
        <v>2739</v>
      </c>
      <c r="S89" s="188" t="n">
        <v>2769</v>
      </c>
      <c r="T89" s="188">
        <f>VLOOKUP(H89,[5]Hoja3!$E$4:$F$84,2,0)</f>
        <v/>
      </c>
      <c r="U89" s="188" t="n">
        <v>2812</v>
      </c>
      <c r="V89" s="189" t="n">
        <v>2829</v>
      </c>
    </row>
    <row customHeight="1" ht="14.25" r="90" thickBot="1" thickTop="1">
      <c r="B90" s="623" t="n"/>
      <c r="C90" s="259" t="inlineStr">
        <is>
          <t>LL204</t>
        </is>
      </c>
      <c r="D90" s="270" t="inlineStr">
        <is>
          <t>SE0246</t>
        </is>
      </c>
      <c r="E90" s="271" t="inlineStr">
        <is>
          <t>PALPA RURAL</t>
        </is>
      </c>
      <c r="F90" s="272" t="n">
        <v>4</v>
      </c>
      <c r="G90" s="636" t="n"/>
      <c r="H90" s="259" t="inlineStr">
        <is>
          <t>LL204</t>
        </is>
      </c>
      <c r="I90" s="260" t="inlineStr">
        <is>
          <t>EN SERVICIO</t>
        </is>
      </c>
      <c r="J90" s="198" t="n">
        <v>2488</v>
      </c>
      <c r="K90" s="198" t="n">
        <v>2506</v>
      </c>
      <c r="L90" s="198" t="n">
        <v>2519</v>
      </c>
      <c r="M90" s="198" t="n">
        <v>2551</v>
      </c>
      <c r="N90" s="198" t="n">
        <v>2552</v>
      </c>
      <c r="O90" s="198" t="n">
        <v>2555</v>
      </c>
      <c r="P90" s="198" t="n">
        <v>2558</v>
      </c>
      <c r="Q90" s="198" t="n">
        <v>2597</v>
      </c>
      <c r="R90" s="198" t="n">
        <v>2622</v>
      </c>
      <c r="S90" s="198" t="n">
        <v>2657</v>
      </c>
      <c r="T90" s="198">
        <f>VLOOKUP(H90,[5]Hoja3!$E$4:$F$84,2,0)</f>
        <v/>
      </c>
      <c r="U90" s="198" t="n">
        <v>2686</v>
      </c>
      <c r="V90" s="199" t="n">
        <v>2704</v>
      </c>
    </row>
    <row customHeight="1" ht="14.25" r="91" thickBot="1" thickTop="1">
      <c r="B91" s="623" t="n"/>
      <c r="C91" s="316" t="inlineStr">
        <is>
          <t>PU101</t>
        </is>
      </c>
      <c r="D91" s="310" t="inlineStr">
        <is>
          <t>SE4045</t>
        </is>
      </c>
      <c r="E91" s="311" t="inlineStr">
        <is>
          <t>PUQUIO</t>
        </is>
      </c>
      <c r="F91" s="312" t="n">
        <v>3</v>
      </c>
      <c r="G91" s="550" t="inlineStr">
        <is>
          <t>SET 53
PUQUIO</t>
        </is>
      </c>
      <c r="H91" s="316" t="inlineStr">
        <is>
          <t>PU101</t>
        </is>
      </c>
      <c r="I91" s="265" t="inlineStr">
        <is>
          <t>EN SERVICIO</t>
        </is>
      </c>
      <c r="J91" s="188" t="n">
        <v>4044</v>
      </c>
      <c r="K91" s="188" t="n">
        <v>4075</v>
      </c>
      <c r="L91" s="188" t="n">
        <v>4112</v>
      </c>
      <c r="M91" s="188" t="n">
        <v>4151</v>
      </c>
      <c r="N91" s="188" t="n">
        <v>4157</v>
      </c>
      <c r="O91" s="188" t="n">
        <v>4160</v>
      </c>
      <c r="P91" s="188" t="n">
        <v>4172</v>
      </c>
      <c r="Q91" s="188" t="n">
        <v>4206</v>
      </c>
      <c r="R91" s="188" t="n">
        <v>4275</v>
      </c>
      <c r="S91" s="188" t="n">
        <v>4363</v>
      </c>
      <c r="T91" s="188">
        <f>VLOOKUP(H91,[5]Hoja3!$E$4:$F$84,2,0)</f>
        <v/>
      </c>
      <c r="U91" s="188" t="n">
        <v>4420</v>
      </c>
      <c r="V91" s="189" t="n">
        <v>4445</v>
      </c>
    </row>
    <row customHeight="1" ht="12.75" r="92" thickBot="1" thickTop="1">
      <c r="B92" s="623" t="n"/>
      <c r="C92" s="308" t="inlineStr">
        <is>
          <t>PU202</t>
        </is>
      </c>
      <c r="D92" s="313" t="inlineStr">
        <is>
          <t>SE0247</t>
        </is>
      </c>
      <c r="E92" s="314" t="inlineStr">
        <is>
          <t>PUQUIO RURAL</t>
        </is>
      </c>
      <c r="F92" s="315" t="n">
        <v>4</v>
      </c>
      <c r="G92" s="629" t="n"/>
      <c r="H92" s="308" t="inlineStr">
        <is>
          <t>PU202</t>
        </is>
      </c>
      <c r="I92" s="220" t="inlineStr">
        <is>
          <t>EN SERVICIO</t>
        </is>
      </c>
      <c r="J92" s="188" t="n">
        <v>1464</v>
      </c>
      <c r="K92" s="188" t="n">
        <v>1472</v>
      </c>
      <c r="L92" s="188" t="n">
        <v>1489</v>
      </c>
      <c r="M92" s="188" t="n">
        <v>1500</v>
      </c>
      <c r="N92" s="188" t="n">
        <v>1503</v>
      </c>
      <c r="O92" s="188" t="n">
        <v>1506</v>
      </c>
      <c r="P92" s="188" t="n">
        <v>1507</v>
      </c>
      <c r="Q92" s="188" t="n">
        <v>1517</v>
      </c>
      <c r="R92" s="188" t="n">
        <v>1543</v>
      </c>
      <c r="S92" s="188" t="n">
        <v>1567</v>
      </c>
      <c r="T92" s="188">
        <f>VLOOKUP(H92,[5]Hoja3!$E$4:$F$84,2,0)</f>
        <v/>
      </c>
      <c r="U92" s="188" t="n">
        <v>1589</v>
      </c>
      <c r="V92" s="189" t="n">
        <v>1601</v>
      </c>
    </row>
    <row customHeight="1" ht="14.25" r="93" thickBot="1" thickTop="1">
      <c r="B93" s="623" t="n"/>
      <c r="C93" s="259" t="inlineStr">
        <is>
          <t>PU203</t>
        </is>
      </c>
      <c r="D93" s="270" t="inlineStr">
        <is>
          <t>SE0247</t>
        </is>
      </c>
      <c r="E93" s="271" t="inlineStr">
        <is>
          <t>PUQUIO RURAL</t>
        </is>
      </c>
      <c r="F93" s="272" t="n">
        <v>4</v>
      </c>
      <c r="G93" s="636" t="n"/>
      <c r="H93" s="259" t="inlineStr">
        <is>
          <t>PU203</t>
        </is>
      </c>
      <c r="I93" s="260" t="inlineStr">
        <is>
          <t>EN SERVICIO</t>
        </is>
      </c>
      <c r="J93" s="198" t="n">
        <v>4511</v>
      </c>
      <c r="K93" s="198" t="n">
        <v>4529</v>
      </c>
      <c r="L93" s="198" t="n">
        <v>4540</v>
      </c>
      <c r="M93" s="198" t="n">
        <v>4596</v>
      </c>
      <c r="N93" s="198" t="n">
        <v>4616</v>
      </c>
      <c r="O93" s="198" t="n">
        <v>4633</v>
      </c>
      <c r="P93" s="198" t="n">
        <v>4642</v>
      </c>
      <c r="Q93" s="198" t="n">
        <v>4658</v>
      </c>
      <c r="R93" s="198" t="n">
        <v>4735</v>
      </c>
      <c r="S93" s="198" t="n">
        <v>4806</v>
      </c>
      <c r="T93" s="198">
        <f>VLOOKUP(H93,[5]Hoja3!$E$4:$F$84,2,0)</f>
        <v/>
      </c>
      <c r="U93" s="198" t="n">
        <v>4893</v>
      </c>
      <c r="V93" s="199" t="n">
        <v>4970</v>
      </c>
    </row>
    <row customHeight="1" ht="14.25" r="94" thickBot="1" thickTop="1">
      <c r="B94" s="623" t="n"/>
      <c r="C94" s="264" t="inlineStr">
        <is>
          <t>CH101</t>
        </is>
      </c>
      <c r="D94" s="310" t="inlineStr">
        <is>
          <t>SE0053</t>
        </is>
      </c>
      <c r="E94" s="311" t="inlineStr">
        <is>
          <t>CHAVIÑA</t>
        </is>
      </c>
      <c r="F94" s="312" t="n">
        <v>4</v>
      </c>
      <c r="G94" s="543" t="inlineStr">
        <is>
          <t>SET 55</t>
        </is>
      </c>
      <c r="H94" s="264" t="inlineStr">
        <is>
          <t>CH101</t>
        </is>
      </c>
      <c r="I94" s="265" t="inlineStr">
        <is>
          <t>EN SERVICIO</t>
        </is>
      </c>
      <c r="J94" s="188" t="n">
        <v>570</v>
      </c>
      <c r="K94" s="188" t="n">
        <v>574</v>
      </c>
      <c r="L94" s="188" t="n">
        <v>574</v>
      </c>
      <c r="M94" s="188" t="n">
        <v>579</v>
      </c>
      <c r="N94" s="188" t="n">
        <v>579</v>
      </c>
      <c r="O94" s="188" t="n">
        <v>579</v>
      </c>
      <c r="P94" s="188" t="n">
        <v>579</v>
      </c>
      <c r="Q94" s="188" t="n">
        <v>581</v>
      </c>
      <c r="R94" s="188" t="n">
        <v>583</v>
      </c>
      <c r="S94" s="188" t="n">
        <v>586</v>
      </c>
      <c r="T94" s="188">
        <f>VLOOKUP(H94,[5]Hoja3!$E$4:$F$84,2,0)</f>
        <v/>
      </c>
      <c r="U94" s="188" t="n">
        <v>590</v>
      </c>
      <c r="V94" s="189" t="n">
        <v>596</v>
      </c>
    </row>
    <row customHeight="1" ht="14.25" r="95" thickBot="1" thickTop="1">
      <c r="B95" s="623" t="n"/>
      <c r="C95" s="185" t="inlineStr">
        <is>
          <t>PAU201</t>
        </is>
      </c>
      <c r="D95" s="317" t="inlineStr">
        <is>
          <t>SE0049</t>
        </is>
      </c>
      <c r="E95" s="318" t="inlineStr">
        <is>
          <t>PAUSA</t>
        </is>
      </c>
      <c r="F95" s="319" t="n">
        <v>3</v>
      </c>
      <c r="G95" s="629" t="n"/>
      <c r="H95" s="185" t="inlineStr">
        <is>
          <t>PAU201</t>
        </is>
      </c>
      <c r="I95" s="220" t="inlineStr">
        <is>
          <t>EN SERVICIO</t>
        </is>
      </c>
      <c r="J95" s="188" t="n">
        <v>980</v>
      </c>
      <c r="K95" s="188" t="n">
        <v>986</v>
      </c>
      <c r="L95" s="188" t="n">
        <v>994</v>
      </c>
      <c r="M95" s="188" t="n">
        <v>1006</v>
      </c>
      <c r="N95" s="188" t="n">
        <v>1007</v>
      </c>
      <c r="O95" s="188" t="n">
        <v>1009</v>
      </c>
      <c r="P95" s="188" t="n">
        <v>1015</v>
      </c>
      <c r="Q95" s="188" t="n">
        <v>1019</v>
      </c>
      <c r="R95" s="188" t="n">
        <v>1034</v>
      </c>
      <c r="S95" s="188" t="n">
        <v>1049</v>
      </c>
      <c r="T95" s="188">
        <f>VLOOKUP(H95,[5]Hoja3!$E$4:$F$84,2,0)</f>
        <v/>
      </c>
      <c r="U95" s="188" t="n">
        <v>1081</v>
      </c>
      <c r="V95" s="189" t="n">
        <v>1119</v>
      </c>
    </row>
    <row customHeight="1" ht="14.25" r="96" thickBot="1" thickTop="1">
      <c r="B96" s="623" t="n"/>
      <c r="C96" s="185" t="inlineStr">
        <is>
          <t>CO101</t>
        </is>
      </c>
      <c r="D96" s="317" t="inlineStr">
        <is>
          <t>SE0047</t>
        </is>
      </c>
      <c r="E96" s="318" t="inlineStr">
        <is>
          <t>CORACORA</t>
        </is>
      </c>
      <c r="F96" s="319" t="n">
        <v>2</v>
      </c>
      <c r="G96" s="629" t="n"/>
      <c r="H96" s="185" t="inlineStr">
        <is>
          <t>CO101</t>
        </is>
      </c>
      <c r="I96" s="220" t="inlineStr">
        <is>
          <t>EN SERVICIO</t>
        </is>
      </c>
      <c r="J96" s="188" t="n">
        <v>3196</v>
      </c>
      <c r="K96" s="188" t="n">
        <v>3211</v>
      </c>
      <c r="L96" s="188" t="n">
        <v>3250</v>
      </c>
      <c r="M96" s="188" t="n">
        <v>3287</v>
      </c>
      <c r="N96" s="188" t="n">
        <v>3289</v>
      </c>
      <c r="O96" s="188" t="n">
        <v>3292</v>
      </c>
      <c r="P96" s="188" t="n">
        <v>3296</v>
      </c>
      <c r="Q96" s="188" t="n">
        <v>3334</v>
      </c>
      <c r="R96" s="188" t="n">
        <v>3381</v>
      </c>
      <c r="S96" s="188" t="n">
        <v>3470</v>
      </c>
      <c r="T96" s="188">
        <f>VLOOKUP(H96,[5]Hoja3!$E$4:$F$84,2,0)</f>
        <v/>
      </c>
      <c r="U96" s="188" t="n">
        <v>3561</v>
      </c>
      <c r="V96" s="189" t="n">
        <v>3597</v>
      </c>
    </row>
    <row customHeight="1" ht="14.25" r="97" thickBot="1" thickTop="1">
      <c r="B97" s="623" t="n"/>
      <c r="C97" s="259" t="inlineStr">
        <is>
          <t>INC201</t>
        </is>
      </c>
      <c r="D97" s="320" t="inlineStr">
        <is>
          <t>SE0054</t>
        </is>
      </c>
      <c r="E97" s="321" t="inlineStr">
        <is>
          <t>INCUYO</t>
        </is>
      </c>
      <c r="F97" s="322" t="n">
        <v>4</v>
      </c>
      <c r="G97" s="636" t="n"/>
      <c r="H97" s="259" t="inlineStr">
        <is>
          <t>INC201</t>
        </is>
      </c>
      <c r="I97" s="260" t="inlineStr">
        <is>
          <t>EN SERVICIO</t>
        </is>
      </c>
      <c r="J97" s="260" t="n">
        <v>370</v>
      </c>
      <c r="K97" s="260" t="n">
        <v>372</v>
      </c>
      <c r="L97" s="260" t="n">
        <v>375</v>
      </c>
      <c r="M97" s="260" t="n">
        <v>389</v>
      </c>
      <c r="N97" s="260" t="n">
        <v>390</v>
      </c>
      <c r="O97" s="260" t="n">
        <v>390</v>
      </c>
      <c r="P97" s="260" t="n">
        <v>390</v>
      </c>
      <c r="Q97" s="260" t="n">
        <v>398</v>
      </c>
      <c r="R97" s="260" t="n">
        <v>407</v>
      </c>
      <c r="S97" s="260" t="n">
        <v>413</v>
      </c>
      <c r="T97" s="260">
        <f>VLOOKUP(H97,[5]Hoja3!$E$4:$F$84,2,0)</f>
        <v/>
      </c>
      <c r="U97" s="260" t="n">
        <v>423</v>
      </c>
      <c r="V97" s="199" t="n">
        <v>424</v>
      </c>
    </row>
    <row customHeight="1" ht="14.25" r="98" thickBot="1" thickTop="1">
      <c r="B98" s="631" t="n"/>
      <c r="C98" s="327" t="inlineStr">
        <is>
          <t>TQ201</t>
        </is>
      </c>
      <c r="D98" s="323" t="inlineStr">
        <is>
          <t>SE0056</t>
        </is>
      </c>
      <c r="E98" s="324" t="inlineStr">
        <is>
          <t>TAMBO QUEMADO</t>
        </is>
      </c>
      <c r="F98" s="325" t="n">
        <v>4</v>
      </c>
      <c r="G98" s="326" t="inlineStr">
        <is>
          <t>SET 56</t>
        </is>
      </c>
      <c r="H98" s="327" t="inlineStr">
        <is>
          <t>TQ201</t>
        </is>
      </c>
      <c r="I98" s="278" t="inlineStr">
        <is>
          <t>EN SERVICIO</t>
        </is>
      </c>
      <c r="J98" s="278" t="n">
        <v>123</v>
      </c>
      <c r="K98" s="278" t="n">
        <v>123</v>
      </c>
      <c r="L98" s="278" t="n">
        <v>123</v>
      </c>
      <c r="M98" s="278">
        <f>VLOOKUP(H98,[6]Hoja4!$A$2:$B$76,2,0)</f>
        <v/>
      </c>
      <c r="N98" s="278" t="n">
        <v>124</v>
      </c>
      <c r="O98" s="278" t="n">
        <v>124</v>
      </c>
      <c r="P98" s="278" t="n">
        <v>124</v>
      </c>
      <c r="Q98" s="278" t="n">
        <v>128</v>
      </c>
      <c r="R98" s="278" t="n">
        <v>132</v>
      </c>
      <c r="S98" s="278" t="n">
        <v>135</v>
      </c>
      <c r="T98" s="278">
        <f>VLOOKUP(H98,[5]Hoja3!$E$4:$F$84,2,0)</f>
        <v/>
      </c>
      <c r="U98" s="278" t="n">
        <v>136</v>
      </c>
      <c r="V98" s="189" t="n">
        <v>137</v>
      </c>
    </row>
    <row customHeight="1" ht="15.75" r="99" thickBot="1" thickTop="1">
      <c r="B99" s="307" t="n"/>
      <c r="C99" s="340" t="n"/>
      <c r="D99" s="639" t="inlineStr">
        <is>
          <t>Sub Total de clientes Zonal Nasca</t>
        </is>
      </c>
      <c r="E99" s="640" t="n"/>
      <c r="F99" s="640" t="n"/>
      <c r="G99" s="640" t="n"/>
      <c r="H99" s="640" t="n"/>
      <c r="I99" s="641" t="n"/>
      <c r="J99" s="234">
        <f>SUM(J82:J98)</f>
        <v/>
      </c>
      <c r="K99" s="234">
        <f>SUM(K82:K98)</f>
        <v/>
      </c>
      <c r="L99" s="234">
        <f>SUM(L82:L98)</f>
        <v/>
      </c>
      <c r="M99" s="234">
        <f>SUM(M82:M98)</f>
        <v/>
      </c>
      <c r="N99" s="234">
        <f>SUM(N82:N98)</f>
        <v/>
      </c>
      <c r="O99" s="234">
        <f>SUM(O82:O98)</f>
        <v/>
      </c>
      <c r="P99" s="234">
        <f>SUM(P82:P98)</f>
        <v/>
      </c>
      <c r="Q99" s="234">
        <f>SUM(Q82:Q98)</f>
        <v/>
      </c>
      <c r="R99" s="234">
        <f>SUM(R82:R98)</f>
        <v/>
      </c>
      <c r="S99" s="234">
        <f>SUM(S82:S98)</f>
        <v/>
      </c>
      <c r="T99" s="234">
        <f>SUM(T82:T98)</f>
        <v/>
      </c>
      <c r="U99" s="234">
        <f>SUM(U82:U98)</f>
        <v/>
      </c>
      <c r="V99" s="235">
        <f>SUM(V82:V98)</f>
        <v/>
      </c>
    </row>
    <row customHeight="1" ht="16.5" r="100" thickBot="1" thickTop="1">
      <c r="G100" s="71" t="n"/>
      <c r="J100" s="328" t="n"/>
      <c r="K100" s="328" t="n"/>
      <c r="L100" s="328" t="n"/>
      <c r="M100" s="328" t="n"/>
      <c r="N100" s="328" t="n"/>
      <c r="O100" s="328" t="n"/>
      <c r="P100" s="328" t="n"/>
      <c r="Q100" s="328" t="n"/>
      <c r="R100" s="328" t="n"/>
      <c r="S100" s="328" t="n"/>
      <c r="T100" s="328" t="n"/>
      <c r="U100" s="328" t="n"/>
      <c r="V100" s="328" t="n"/>
    </row>
    <row customHeight="1" ht="14.25" r="101" thickBot="1" thickTop="1">
      <c r="D101" s="642" t="inlineStr">
        <is>
          <t>Total de clientes Zonal ELD (*)</t>
        </is>
      </c>
      <c r="E101" s="640" t="n"/>
      <c r="F101" s="640" t="n"/>
      <c r="G101" s="640" t="n"/>
      <c r="H101" s="643" t="n"/>
      <c r="I101" s="558" t="n"/>
      <c r="J101" s="330">
        <f>SUM(#REF!,#REF!,#REF!,J99)</f>
        <v/>
      </c>
      <c r="K101" s="330">
        <f>SUM(#REF!,#REF!,#REF!,K99)</f>
        <v/>
      </c>
      <c r="L101" s="330">
        <f>SUM(#REF!,#REF!,#REF!,L99)</f>
        <v/>
      </c>
      <c r="M101" s="330">
        <f>SUM(#REF!,#REF!,#REF!,M99)</f>
        <v/>
      </c>
      <c r="N101" s="330">
        <f>SUM(#REF!,#REF!,#REF!,N99)</f>
        <v/>
      </c>
      <c r="O101" s="330">
        <f>SUM(#REF!,#REF!,#REF!,O99)</f>
        <v/>
      </c>
      <c r="P101" s="330">
        <f>SUM(#REF!,#REF!,#REF!,P99)</f>
        <v/>
      </c>
      <c r="Q101" s="330">
        <f>SUM(#REF!,#REF!,#REF!,Q99)</f>
        <v/>
      </c>
      <c r="R101" s="330">
        <f>SUM(#REF!,#REF!,#REF!,R99)</f>
        <v/>
      </c>
      <c r="S101" s="330">
        <f>SUM(#REF!,#REF!,#REF!,S99)</f>
        <v/>
      </c>
      <c r="T101" s="330">
        <f>SUM(#REF!,#REF!,#REF!,T99)</f>
        <v/>
      </c>
      <c r="U101" s="330">
        <f>SUM(#REF!,#REF!,#REF!,U99)</f>
        <v/>
      </c>
      <c r="V101" s="330">
        <f>SUM(#REF!,#REF!,#REF!,V99)</f>
        <v/>
      </c>
    </row>
    <row customHeight="1" ht="13.5" r="102" thickTop="1">
      <c r="G102" s="71" t="n"/>
    </row>
    <row r="105">
      <c r="N105" s="331" t="n"/>
    </row>
  </sheetData>
  <mergeCells count="31">
    <mergeCell ref="D99:I99"/>
    <mergeCell ref="D101:H101"/>
    <mergeCell ref="B82:B98"/>
    <mergeCell ref="G82:G86"/>
    <mergeCell ref="G87:G90"/>
    <mergeCell ref="G91:G93"/>
    <mergeCell ref="G94:G97"/>
    <mergeCell ref="B52:B81"/>
    <mergeCell ref="G52:G56"/>
    <mergeCell ref="G58:G63"/>
    <mergeCell ref="G64:G69"/>
    <mergeCell ref="G70:G74"/>
    <mergeCell ref="G75:G81"/>
    <mergeCell ref="B32:B51"/>
    <mergeCell ref="G32:G35"/>
    <mergeCell ref="G36:G41"/>
    <mergeCell ref="G42:G47"/>
    <mergeCell ref="G48:G50"/>
    <mergeCell ref="B6:B31"/>
    <mergeCell ref="G6:G10"/>
    <mergeCell ref="G11:G16"/>
    <mergeCell ref="G17:G25"/>
    <mergeCell ref="G26:G31"/>
    <mergeCell ref="D2:V2"/>
    <mergeCell ref="D4:D5"/>
    <mergeCell ref="E4:E5"/>
    <mergeCell ref="F4:F5"/>
    <mergeCell ref="G4:G5"/>
    <mergeCell ref="H4:H5"/>
    <mergeCell ref="I4:I5"/>
    <mergeCell ref="J4:V4"/>
  </mergeCells>
  <pageMargins bottom="0.7480314960629921" footer="0.3149606299212598" header="0.3149606299212598" left="0.2362204724409449" right="0.2362204724409449" top="0.7480314960629921"/>
  <pageSetup fitToHeight="6" horizontalDpi="4294967293" orientation="portrait" paperSize="9" scale="19"/>
  <headerFooter alignWithMargins="0">
    <oddHeader>&amp;L&amp;"Calibri"&amp;1 &amp;K000000 Información Pública#_x000d_</oddHeader>
    <oddFooter/>
    <evenHeader/>
    <evenFooter/>
    <firstHeader/>
    <firstFooter/>
  </headerFooter>
  <legacyDrawing r:id="anysvml"/>
</worksheet>
</file>

<file path=xl/worksheets/sheet6.xml><?xml version="1.0" encoding="utf-8"?>
<worksheet xmlns="http://schemas.openxmlformats.org/spreadsheetml/2006/main">
  <sheetPr>
    <tabColor rgb="FF00B050"/>
    <outlinePr summaryBelow="1" summaryRight="1"/>
    <pageSetUpPr/>
  </sheetPr>
  <dimension ref="B1:AC118"/>
  <sheetViews>
    <sheetView showGridLines="0" topLeftCell="A38" workbookViewId="0" zoomScale="70" zoomScaleNormal="70">
      <selection activeCell="H25" sqref="H25"/>
    </sheetView>
  </sheetViews>
  <sheetFormatPr baseColWidth="10" defaultColWidth="11.42578125" defaultRowHeight="15"/>
  <cols>
    <col customWidth="1" hidden="1" max="2" min="2" width="24.5703125"/>
    <col customWidth="1" max="3" min="3" width="7.5703125"/>
    <col customWidth="1" max="6" min="6" width="29.42578125"/>
    <col customWidth="1" max="8" min="7" width="11.5703125"/>
    <col customWidth="1" max="10" min="9" width="13"/>
    <col customWidth="1" max="24" min="11" width="11.5703125"/>
    <col customWidth="1" max="25" min="25" width="3"/>
    <col customWidth="1" hidden="1" max="27" min="26" width="12.5703125"/>
  </cols>
  <sheetData>
    <row customHeight="1" hidden="1" ht="15" r="1">
      <c r="G1" s="332" t="n">
        <v>29</v>
      </c>
      <c r="H1" t="n">
        <v>29</v>
      </c>
      <c r="I1" t="n">
        <v>41</v>
      </c>
      <c r="J1" t="n">
        <v>41</v>
      </c>
      <c r="K1" t="n">
        <v>42</v>
      </c>
      <c r="L1" t="n">
        <v>42</v>
      </c>
      <c r="M1" t="n">
        <v>27</v>
      </c>
      <c r="N1" t="n">
        <v>27</v>
      </c>
      <c r="O1" t="n">
        <v>28</v>
      </c>
      <c r="P1" t="n">
        <v>28</v>
      </c>
      <c r="Q1" t="n">
        <v>29</v>
      </c>
      <c r="R1" t="n">
        <v>29</v>
      </c>
      <c r="S1" t="n">
        <v>30</v>
      </c>
      <c r="T1" t="n">
        <v>30</v>
      </c>
      <c r="W1" t="n">
        <v>58</v>
      </c>
      <c r="X1" t="n">
        <v>58</v>
      </c>
    </row>
    <row customFormat="1" customHeight="1" ht="15.75" r="2" s="357">
      <c r="C2" s="563" t="inlineStr">
        <is>
          <t>PORCENTAJES DE PÉRDIDAS POR SISTEMA ELÉCTRICO, SECTOR TÍPICO Y EMPRESA - ELECTRO DUNAS S.A.A.</t>
        </is>
      </c>
    </row>
    <row customHeight="1" ht="30" r="4">
      <c r="C4" s="562" t="inlineStr">
        <is>
          <t>Ítem</t>
        </is>
      </c>
      <c r="D4" s="562" t="inlineStr">
        <is>
          <t>Código</t>
        </is>
      </c>
      <c r="E4" s="562" t="inlineStr">
        <is>
          <t>Sector Típico</t>
        </is>
      </c>
      <c r="F4" s="562" t="inlineStr">
        <is>
          <t>Sistema Eléctrico</t>
        </is>
      </c>
      <c r="G4" s="562" t="inlineStr">
        <is>
          <t>Pérdidas Técnicas                      en MT (%)</t>
        </is>
      </c>
      <c r="H4" s="615" t="n"/>
      <c r="I4" s="562" t="inlineStr">
        <is>
          <t>Pérdidas Técnicas                      en BT (%)</t>
        </is>
      </c>
      <c r="J4" s="615" t="n"/>
      <c r="K4" s="562" t="inlineStr">
        <is>
          <t>Pérdidas No Técnicas           en BT (%)</t>
        </is>
      </c>
      <c r="L4" s="615" t="n"/>
      <c r="M4" s="562" t="inlineStr">
        <is>
          <t>Pérdidas en Subestaciones MT/BT (%)</t>
        </is>
      </c>
      <c r="N4" s="615" t="n"/>
      <c r="O4" s="562" t="inlineStr">
        <is>
          <t>Pérdidas en Redes           de BT (%)</t>
        </is>
      </c>
      <c r="P4" s="615" t="n"/>
      <c r="Q4" s="562" t="inlineStr">
        <is>
          <t>Pérdidas en           Acometidas (%)</t>
        </is>
      </c>
      <c r="R4" s="615" t="n"/>
      <c r="S4" s="562" t="inlineStr">
        <is>
          <t>Pérdidas en           Medidores (%)</t>
        </is>
      </c>
      <c r="T4" s="615" t="n"/>
      <c r="U4" s="562" t="inlineStr">
        <is>
          <t>Pérdidas Totales                      en BT (%)</t>
        </is>
      </c>
      <c r="V4" s="615" t="n"/>
      <c r="W4" s="562" t="inlineStr">
        <is>
          <t>Total Pérdidas           Respecto MT (%)</t>
        </is>
      </c>
      <c r="X4" s="615" t="n"/>
      <c r="Z4" s="562" t="inlineStr">
        <is>
          <t>Pérdidas en Subestaciones MT/BT Adapatada (%)</t>
        </is>
      </c>
      <c r="AA4" s="615" t="n"/>
      <c r="AB4" s="562" t="inlineStr">
        <is>
          <t>Pérdidas Medición Centralizada (%)</t>
        </is>
      </c>
      <c r="AC4" s="615" t="n"/>
    </row>
    <row r="5">
      <c r="C5" s="612" t="n"/>
      <c r="D5" s="612" t="n"/>
      <c r="E5" s="612" t="n"/>
      <c r="F5" s="612" t="n"/>
      <c r="G5" s="433" t="inlineStr">
        <is>
          <t>Energía</t>
        </is>
      </c>
      <c r="H5" s="433" t="inlineStr">
        <is>
          <t>Potencia</t>
        </is>
      </c>
      <c r="I5" s="433" t="inlineStr">
        <is>
          <t>Energía</t>
        </is>
      </c>
      <c r="J5" s="433" t="inlineStr">
        <is>
          <t>Potencia</t>
        </is>
      </c>
      <c r="K5" s="433" t="inlineStr">
        <is>
          <t>Energía</t>
        </is>
      </c>
      <c r="L5" s="433" t="inlineStr">
        <is>
          <t>Potencia</t>
        </is>
      </c>
      <c r="M5" s="433" t="inlineStr">
        <is>
          <t>Energía</t>
        </is>
      </c>
      <c r="N5" s="433" t="inlineStr">
        <is>
          <t>Potencia</t>
        </is>
      </c>
      <c r="O5" s="433" t="inlineStr">
        <is>
          <t>Energía</t>
        </is>
      </c>
      <c r="P5" s="433" t="inlineStr">
        <is>
          <t>Potencia</t>
        </is>
      </c>
      <c r="Q5" s="433" t="inlineStr">
        <is>
          <t>Energía</t>
        </is>
      </c>
      <c r="R5" s="433" t="inlineStr">
        <is>
          <t>Potencia</t>
        </is>
      </c>
      <c r="S5" s="433" t="inlineStr">
        <is>
          <t>Energía</t>
        </is>
      </c>
      <c r="T5" s="433" t="inlineStr">
        <is>
          <t>Potencia</t>
        </is>
      </c>
      <c r="U5" s="433" t="inlineStr">
        <is>
          <t>Energía</t>
        </is>
      </c>
      <c r="V5" s="433" t="inlineStr">
        <is>
          <t>Potencia</t>
        </is>
      </c>
      <c r="W5" s="433" t="inlineStr">
        <is>
          <t>Energía</t>
        </is>
      </c>
      <c r="X5" s="433" t="inlineStr">
        <is>
          <t>Potencia</t>
        </is>
      </c>
      <c r="Z5" s="433" t="inlineStr">
        <is>
          <t>Energía</t>
        </is>
      </c>
      <c r="AA5" s="433" t="inlineStr">
        <is>
          <t>Potencia</t>
        </is>
      </c>
      <c r="AB5" s="433" t="inlineStr">
        <is>
          <t>Energía</t>
        </is>
      </c>
      <c r="AC5" s="433" t="inlineStr">
        <is>
          <t>Potencia</t>
        </is>
      </c>
    </row>
    <row customFormat="1" customHeight="1" ht="18" r="6" s="333">
      <c r="B6" s="333" t="inlineStr">
        <is>
          <t>Empresa</t>
        </is>
      </c>
      <c r="C6" s="434" t="n">
        <v>1</v>
      </c>
      <c r="D6" s="434" t="inlineStr">
        <is>
          <t>Emp</t>
        </is>
      </c>
      <c r="E6" s="434" t="inlineStr">
        <is>
          <t>Emp</t>
        </is>
      </c>
      <c r="F6" s="435" t="inlineStr">
        <is>
          <t>Empresa</t>
        </is>
      </c>
      <c r="G6" s="436" t="n">
        <v>1.15</v>
      </c>
      <c r="H6" s="436" t="n">
        <v>1.77</v>
      </c>
      <c r="I6" s="436" t="n">
        <v>5.66</v>
      </c>
      <c r="J6" s="436" t="n">
        <v>7.78</v>
      </c>
      <c r="K6" s="436" t="n">
        <v>2.56</v>
      </c>
      <c r="L6" s="436" t="n">
        <v>2.56</v>
      </c>
      <c r="M6" s="436" t="n">
        <v>2.25</v>
      </c>
      <c r="N6" s="436" t="n">
        <v>3.14</v>
      </c>
      <c r="O6" s="436" t="n">
        <v>3.22</v>
      </c>
      <c r="P6" s="436" t="n">
        <v>4.39</v>
      </c>
      <c r="Q6" s="436" t="n">
        <v>0.05</v>
      </c>
      <c r="R6" s="436" t="n">
        <v>0.07000000000000001</v>
      </c>
      <c r="S6" s="436" t="n">
        <v>0.14</v>
      </c>
      <c r="T6" s="436" t="n">
        <v>0.19</v>
      </c>
      <c r="U6" s="436" t="n">
        <v>8.220000000000002</v>
      </c>
      <c r="V6" s="436" t="n">
        <v>10.35</v>
      </c>
      <c r="W6" s="436" t="n">
        <v>4.51</v>
      </c>
      <c r="X6" s="436" t="n">
        <v>6.73</v>
      </c>
      <c r="Z6" s="436" t="n">
        <v>5.000000000000002</v>
      </c>
      <c r="AA6" s="436" t="n">
        <v>5.96</v>
      </c>
      <c r="AB6" s="436" t="n">
        <v>8.030000000000001</v>
      </c>
      <c r="AC6" s="436" t="n">
        <v>10.09</v>
      </c>
    </row>
    <row customFormat="1" customHeight="1" ht="18" r="7" s="333">
      <c r="B7" s="333" t="inlineStr">
        <is>
          <t>Sector_Típico_2</t>
        </is>
      </c>
      <c r="C7" s="434" t="n">
        <v>2</v>
      </c>
      <c r="D7" s="434" t="inlineStr">
        <is>
          <t>ST2</t>
        </is>
      </c>
      <c r="E7" s="434" t="inlineStr">
        <is>
          <t>ST2</t>
        </is>
      </c>
      <c r="F7" s="435" t="inlineStr">
        <is>
          <t>Sector_Típico_2</t>
        </is>
      </c>
      <c r="G7" s="436" t="n">
        <v>0.68</v>
      </c>
      <c r="H7" s="436" t="n">
        <v>1.04</v>
      </c>
      <c r="I7" s="436" t="n">
        <v>5.84</v>
      </c>
      <c r="J7" s="436" t="n">
        <v>7.99</v>
      </c>
      <c r="K7" s="436" t="n">
        <v>2.56</v>
      </c>
      <c r="L7" s="436" t="n">
        <v>2.56</v>
      </c>
      <c r="M7" s="436" t="n">
        <v>2.27</v>
      </c>
      <c r="N7" s="436" t="n">
        <v>3.1</v>
      </c>
      <c r="O7" s="436" t="n">
        <v>3.39</v>
      </c>
      <c r="P7" s="436" t="n">
        <v>4.63</v>
      </c>
      <c r="Q7" s="436" t="n">
        <v>0.05</v>
      </c>
      <c r="R7" s="436" t="n">
        <v>0.07000000000000001</v>
      </c>
      <c r="S7" s="436" t="n">
        <v>0.13</v>
      </c>
      <c r="T7" s="436" t="n">
        <v>0.18</v>
      </c>
      <c r="U7" s="436" t="n">
        <v>8.400000000000002</v>
      </c>
      <c r="V7" s="436" t="n">
        <v>10.54</v>
      </c>
      <c r="W7" s="436" t="n">
        <v>4.3</v>
      </c>
      <c r="X7" s="436" t="n">
        <v>6.26</v>
      </c>
      <c r="Z7" s="436" t="n">
        <v>5.010000000000002</v>
      </c>
      <c r="AA7" s="436" t="n">
        <v>5.909999999999999</v>
      </c>
      <c r="AB7" s="436" t="n">
        <v>8.220000000000001</v>
      </c>
      <c r="AC7" s="436" t="n">
        <v>10.29</v>
      </c>
    </row>
    <row customFormat="1" customHeight="1" ht="18" r="8" s="333">
      <c r="B8" s="333" t="inlineStr">
        <is>
          <t>Sector_Típico_3</t>
        </is>
      </c>
      <c r="C8" s="434" t="n">
        <v>3</v>
      </c>
      <c r="D8" s="434" t="inlineStr">
        <is>
          <t>ST3</t>
        </is>
      </c>
      <c r="E8" s="434" t="inlineStr">
        <is>
          <t>ST3</t>
        </is>
      </c>
      <c r="F8" s="435" t="inlineStr">
        <is>
          <t>Sector_Típico_3</t>
        </is>
      </c>
      <c r="G8" s="436" t="n">
        <v>4.02</v>
      </c>
      <c r="H8" s="436" t="n">
        <v>6.03</v>
      </c>
      <c r="I8" s="436" t="n">
        <v>3.74</v>
      </c>
      <c r="J8" s="436" t="n">
        <v>5.7</v>
      </c>
      <c r="K8" s="436" t="n">
        <v>2.56</v>
      </c>
      <c r="L8" s="436" t="n">
        <v>2.56</v>
      </c>
      <c r="M8" s="436" t="n">
        <v>2.05</v>
      </c>
      <c r="N8" s="436" t="n">
        <v>3.17</v>
      </c>
      <c r="O8" s="436" t="n">
        <v>1.5</v>
      </c>
      <c r="P8" s="436" t="n">
        <v>2.23</v>
      </c>
      <c r="Q8" s="436" t="n">
        <v>0.03</v>
      </c>
      <c r="R8" s="436" t="n">
        <v>0.05</v>
      </c>
      <c r="S8" s="436" t="n">
        <v>0.16</v>
      </c>
      <c r="T8" s="436" t="n">
        <v>0.25</v>
      </c>
      <c r="U8" s="436" t="n">
        <v>6.3</v>
      </c>
      <c r="V8" s="436" t="n">
        <v>8.260000000000002</v>
      </c>
      <c r="W8" s="436" t="n">
        <v>5.39</v>
      </c>
      <c r="X8" s="436" t="n">
        <v>8.720000000000001</v>
      </c>
      <c r="Z8" s="436" t="n">
        <v>4.8</v>
      </c>
      <c r="AA8" s="436" t="n">
        <v>6.030000000000001</v>
      </c>
      <c r="AB8" s="436" t="n">
        <v>6.109999999999999</v>
      </c>
      <c r="AC8" s="436" t="n">
        <v>7.960000000000001</v>
      </c>
    </row>
    <row customFormat="1" customHeight="1" ht="18" r="9" s="333">
      <c r="B9" s="333" t="inlineStr">
        <is>
          <t>Sector_Típico_4</t>
        </is>
      </c>
      <c r="C9" s="434" t="n">
        <v>4</v>
      </c>
      <c r="D9" s="434" t="inlineStr">
        <is>
          <t>ST4</t>
        </is>
      </c>
      <c r="E9" s="434" t="inlineStr">
        <is>
          <t>ST4</t>
        </is>
      </c>
      <c r="F9" s="435" t="inlineStr">
        <is>
          <t>Sector_Típico_4</t>
        </is>
      </c>
      <c r="G9" s="436" t="n">
        <v>5.74</v>
      </c>
      <c r="H9" s="436" t="n">
        <v>8.94</v>
      </c>
      <c r="I9" s="436" t="n">
        <v>4.41</v>
      </c>
      <c r="J9" s="436" t="n">
        <v>7.3</v>
      </c>
      <c r="K9" s="436" t="n">
        <v>2.56</v>
      </c>
      <c r="L9" s="436" t="n">
        <v>2.56</v>
      </c>
      <c r="M9" s="436" t="n">
        <v>2.26</v>
      </c>
      <c r="N9" s="436" t="n">
        <v>3.83</v>
      </c>
      <c r="O9" s="436" t="n">
        <v>1.81</v>
      </c>
      <c r="P9" s="436" t="n">
        <v>2.88</v>
      </c>
      <c r="Q9" s="436" t="n">
        <v>0.03</v>
      </c>
      <c r="R9" s="436" t="n">
        <v>0.05</v>
      </c>
      <c r="S9" s="436" t="n">
        <v>0.31</v>
      </c>
      <c r="T9" s="436" t="n">
        <v>0.53</v>
      </c>
      <c r="U9" s="436" t="n">
        <v>6.970000000000001</v>
      </c>
      <c r="V9" s="436" t="n">
        <v>9.85</v>
      </c>
      <c r="W9" s="436" t="n">
        <v>10.55</v>
      </c>
      <c r="X9" s="436" t="n">
        <v>16.07</v>
      </c>
      <c r="Z9" s="436" t="n">
        <v>5.16</v>
      </c>
      <c r="AA9" s="436" t="n">
        <v>6.97</v>
      </c>
      <c r="AB9" s="436" t="n">
        <v>6.630000000000001</v>
      </c>
      <c r="AC9" s="436" t="n">
        <v>9.27</v>
      </c>
    </row>
    <row customFormat="1" customHeight="1" ht="18" r="10" s="333">
      <c r="B10" s="333" t="inlineStr">
        <is>
          <t>Sector_Típico_SER</t>
        </is>
      </c>
      <c r="C10" s="434" t="n">
        <v>5</v>
      </c>
      <c r="D10" s="434" t="inlineStr">
        <is>
          <t>SER</t>
        </is>
      </c>
      <c r="E10" s="434" t="inlineStr">
        <is>
          <t>SER</t>
        </is>
      </c>
      <c r="F10" s="435" t="inlineStr">
        <is>
          <t>Sector_Típico_SER</t>
        </is>
      </c>
      <c r="G10" s="436" t="n">
        <v>1.86</v>
      </c>
      <c r="H10" s="436" t="n">
        <v>3.32</v>
      </c>
      <c r="I10" s="436" t="n">
        <v>4.5</v>
      </c>
      <c r="J10" s="436" t="n">
        <v>7.82</v>
      </c>
      <c r="K10" s="436" t="n">
        <v>2.56</v>
      </c>
      <c r="L10" s="436" t="n">
        <v>2.56</v>
      </c>
      <c r="M10" s="436" t="n">
        <v>2.33</v>
      </c>
      <c r="N10" s="436" t="n">
        <v>4.05</v>
      </c>
      <c r="O10" s="436" t="n">
        <v>2.17</v>
      </c>
      <c r="P10" s="436" t="n">
        <v>3.77</v>
      </c>
      <c r="Q10" s="436" t="n">
        <v>0</v>
      </c>
      <c r="R10" s="436" t="n">
        <v>0</v>
      </c>
      <c r="S10" s="436" t="n">
        <v>0</v>
      </c>
      <c r="T10" s="436" t="n">
        <v>0</v>
      </c>
      <c r="U10" s="436" t="n">
        <v>7.06</v>
      </c>
      <c r="V10" s="436" t="n">
        <v>10.38</v>
      </c>
      <c r="W10" s="436" t="n">
        <v>8.789999999999999</v>
      </c>
      <c r="X10" s="436" t="n">
        <v>13.35</v>
      </c>
      <c r="Z10" s="436" t="n">
        <v>4.890000000000001</v>
      </c>
      <c r="AA10" s="436" t="n">
        <v>6.609999999999999</v>
      </c>
      <c r="AB10" s="436" t="n">
        <v>7.06</v>
      </c>
      <c r="AC10" s="436" t="n">
        <v>10.38</v>
      </c>
    </row>
    <row customFormat="1" customHeight="1" ht="18" r="11" s="333">
      <c r="B11" s="333" t="inlineStr">
        <is>
          <t>Chincha</t>
        </is>
      </c>
      <c r="C11" s="434" t="n">
        <v>6</v>
      </c>
      <c r="D11" s="434" t="inlineStr">
        <is>
          <t>SE0043</t>
        </is>
      </c>
      <c r="E11" s="434" t="inlineStr">
        <is>
          <t>ST2</t>
        </is>
      </c>
      <c r="F11" s="435" t="inlineStr">
        <is>
          <t>Chincha</t>
        </is>
      </c>
      <c r="G11" s="436" t="n">
        <v>0.8</v>
      </c>
      <c r="H11" s="436" t="n">
        <v>1.2</v>
      </c>
      <c r="I11" s="436" t="n">
        <v>6.25</v>
      </c>
      <c r="J11" s="436" t="n">
        <v>8.32</v>
      </c>
      <c r="K11" s="436" t="n">
        <v>2.56</v>
      </c>
      <c r="L11" s="436" t="n">
        <v>2.56</v>
      </c>
      <c r="M11" s="436" t="n">
        <v>2.33</v>
      </c>
      <c r="N11" s="436" t="n">
        <v>3.11</v>
      </c>
      <c r="O11" s="436" t="n">
        <v>3.71</v>
      </c>
      <c r="P11" s="436" t="n">
        <v>4.95</v>
      </c>
      <c r="Q11" s="436" t="n">
        <v>0.05</v>
      </c>
      <c r="R11" s="436" t="n">
        <v>0.07000000000000001</v>
      </c>
      <c r="S11" s="436" t="n">
        <v>0.15</v>
      </c>
      <c r="T11" s="436" t="n">
        <v>0.2</v>
      </c>
      <c r="U11" s="436" t="n">
        <v>8.800000000000002</v>
      </c>
      <c r="V11" s="436" t="n">
        <v>10.89</v>
      </c>
      <c r="W11" s="436" t="n">
        <v>5.89</v>
      </c>
      <c r="X11" s="436" t="n">
        <v>8.869999999999999</v>
      </c>
      <c r="Z11" s="436" t="n">
        <v>5.090000000000003</v>
      </c>
      <c r="AA11" s="436" t="n">
        <v>5.94</v>
      </c>
      <c r="AB11" s="436" t="n">
        <v>8.600000000000001</v>
      </c>
      <c r="AC11" s="436" t="n">
        <v>10.62</v>
      </c>
    </row>
    <row customFormat="1" customHeight="1" ht="18" r="12" s="333">
      <c r="B12" s="333" t="inlineStr">
        <is>
          <t>Ica</t>
        </is>
      </c>
      <c r="C12" s="434" t="n">
        <v>7</v>
      </c>
      <c r="D12" s="434" t="inlineStr">
        <is>
          <t>SE0044</t>
        </is>
      </c>
      <c r="E12" s="434" t="inlineStr">
        <is>
          <t>ST2</t>
        </is>
      </c>
      <c r="F12" s="435" t="inlineStr">
        <is>
          <t>Ica</t>
        </is>
      </c>
      <c r="G12" s="436" t="n">
        <v>0.79</v>
      </c>
      <c r="H12" s="436" t="n">
        <v>1.2</v>
      </c>
      <c r="I12" s="436" t="n">
        <v>5.97</v>
      </c>
      <c r="J12" s="436" t="n">
        <v>8.130000000000001</v>
      </c>
      <c r="K12" s="436" t="n">
        <v>2.56</v>
      </c>
      <c r="L12" s="436" t="n">
        <v>2.56</v>
      </c>
      <c r="M12" s="436" t="n">
        <v>2.34</v>
      </c>
      <c r="N12" s="436" t="n">
        <v>3.19</v>
      </c>
      <c r="O12" s="436" t="n">
        <v>3.45</v>
      </c>
      <c r="P12" s="436" t="n">
        <v>4.7</v>
      </c>
      <c r="Q12" s="436" t="n">
        <v>0.05</v>
      </c>
      <c r="R12" s="436" t="n">
        <v>0.07000000000000001</v>
      </c>
      <c r="S12" s="436" t="n">
        <v>0.12</v>
      </c>
      <c r="T12" s="436" t="n">
        <v>0.17</v>
      </c>
      <c r="U12" s="436" t="n">
        <v>8.520000000000001</v>
      </c>
      <c r="V12" s="436" t="n">
        <v>10.69</v>
      </c>
      <c r="W12" s="436" t="n">
        <v>6.03</v>
      </c>
      <c r="X12" s="436" t="n">
        <v>8.279999999999999</v>
      </c>
      <c r="Z12" s="436" t="n">
        <v>5.070000000000001</v>
      </c>
      <c r="AA12" s="436" t="n">
        <v>5.989999999999999</v>
      </c>
      <c r="AB12" s="436" t="n">
        <v>8.350000000000001</v>
      </c>
      <c r="AC12" s="436" t="n">
        <v>10.45</v>
      </c>
    </row>
    <row customFormat="1" customHeight="1" ht="18" r="13" s="333">
      <c r="B13" s="333" t="inlineStr">
        <is>
          <t>Pisco</t>
        </is>
      </c>
      <c r="C13" s="434" t="n">
        <v>8</v>
      </c>
      <c r="D13" s="434" t="inlineStr">
        <is>
          <t>SE0046</t>
        </is>
      </c>
      <c r="E13" s="434" t="inlineStr">
        <is>
          <t>ST2</t>
        </is>
      </c>
      <c r="F13" s="435" t="inlineStr">
        <is>
          <t>Pisco</t>
        </is>
      </c>
      <c r="G13" s="436" t="n">
        <v>0.7</v>
      </c>
      <c r="H13" s="436" t="n">
        <v>1.03</v>
      </c>
      <c r="I13" s="436" t="n">
        <v>5.82</v>
      </c>
      <c r="J13" s="436" t="n">
        <v>8.08</v>
      </c>
      <c r="K13" s="436" t="n">
        <v>2.56</v>
      </c>
      <c r="L13" s="436" t="n">
        <v>2.56</v>
      </c>
      <c r="M13" s="436" t="n">
        <v>2.22</v>
      </c>
      <c r="N13" s="436" t="n">
        <v>3.08</v>
      </c>
      <c r="O13" s="436" t="n">
        <v>3.41</v>
      </c>
      <c r="P13" s="436" t="n">
        <v>4.73</v>
      </c>
      <c r="Q13" s="436" t="n">
        <v>0.05</v>
      </c>
      <c r="R13" s="436" t="n">
        <v>0.07000000000000001</v>
      </c>
      <c r="S13" s="436" t="n">
        <v>0.13</v>
      </c>
      <c r="T13" s="436" t="n">
        <v>0.19</v>
      </c>
      <c r="U13" s="436" t="n">
        <v>8.370000000000003</v>
      </c>
      <c r="V13" s="436" t="n">
        <v>10.63</v>
      </c>
      <c r="W13" s="436" t="n">
        <v>5.54</v>
      </c>
      <c r="X13" s="436" t="n">
        <v>8.050000000000001</v>
      </c>
      <c r="Z13" s="436" t="n">
        <v>4.960000000000003</v>
      </c>
      <c r="AA13" s="436" t="n">
        <v>5.9</v>
      </c>
      <c r="AB13" s="436" t="n">
        <v>8.190000000000001</v>
      </c>
      <c r="AC13" s="436" t="n">
        <v>10.37</v>
      </c>
    </row>
    <row customFormat="1" customHeight="1" ht="18" r="14" s="333">
      <c r="B14" s="333" t="inlineStr">
        <is>
          <t>Nasca</t>
        </is>
      </c>
      <c r="C14" s="434" t="n">
        <v>9</v>
      </c>
      <c r="D14" s="434" t="inlineStr">
        <is>
          <t>SE1045</t>
        </is>
      </c>
      <c r="E14" s="434" t="inlineStr">
        <is>
          <t>ST2</t>
        </is>
      </c>
      <c r="F14" s="435" t="inlineStr">
        <is>
          <t>Nasca</t>
        </is>
      </c>
      <c r="G14" s="436" t="n">
        <v>0.66</v>
      </c>
      <c r="H14" s="436" t="n">
        <v>0.88</v>
      </c>
      <c r="I14" s="436" t="n">
        <v>5.28</v>
      </c>
      <c r="J14" s="436" t="n">
        <v>7.51</v>
      </c>
      <c r="K14" s="436" t="n">
        <v>2.56</v>
      </c>
      <c r="L14" s="436" t="n">
        <v>2.56</v>
      </c>
      <c r="M14" s="436" t="n">
        <v>2.06</v>
      </c>
      <c r="N14" s="436" t="n">
        <v>2.93</v>
      </c>
      <c r="O14" s="436" t="n">
        <v>3.06</v>
      </c>
      <c r="P14" s="436" t="n">
        <v>4.36</v>
      </c>
      <c r="Q14" s="436" t="n">
        <v>0.04</v>
      </c>
      <c r="R14" s="436" t="n">
        <v>0.06</v>
      </c>
      <c r="S14" s="436" t="n">
        <v>0.11</v>
      </c>
      <c r="T14" s="436" t="n">
        <v>0.16</v>
      </c>
      <c r="U14" s="436" t="n">
        <v>7.83</v>
      </c>
      <c r="V14" s="436" t="n">
        <v>10.07</v>
      </c>
      <c r="W14" s="436" t="n">
        <v>6.13</v>
      </c>
      <c r="X14" s="436" t="n">
        <v>8.859999999999999</v>
      </c>
      <c r="Z14" s="436" t="n">
        <v>4.77</v>
      </c>
      <c r="AA14" s="436" t="n">
        <v>5.710000000000002</v>
      </c>
      <c r="AB14" s="436" t="n">
        <v>7.68</v>
      </c>
      <c r="AC14" s="436" t="n">
        <v>9.850000000000001</v>
      </c>
    </row>
    <row customFormat="1" customHeight="1" ht="18" r="15" s="333">
      <c r="B15" s="333" t="inlineStr">
        <is>
          <t>Paracas</t>
        </is>
      </c>
      <c r="C15" s="434" t="n">
        <v>10</v>
      </c>
      <c r="D15" s="434" t="inlineStr">
        <is>
          <t>SE2046</t>
        </is>
      </c>
      <c r="E15" s="434" t="inlineStr">
        <is>
          <t>ST2</t>
        </is>
      </c>
      <c r="F15" s="435" t="inlineStr">
        <is>
          <t>Paracas</t>
        </is>
      </c>
      <c r="G15" s="436" t="n">
        <v>0.5600000000000001</v>
      </c>
      <c r="H15" s="436" t="n">
        <v>0.87</v>
      </c>
      <c r="I15" s="436" t="n">
        <v>5.07</v>
      </c>
      <c r="J15" s="436" t="n">
        <v>7.28</v>
      </c>
      <c r="K15" s="436" t="n">
        <v>2.56</v>
      </c>
      <c r="L15" s="436" t="n">
        <v>2.56</v>
      </c>
      <c r="M15" s="436" t="n">
        <v>2.11</v>
      </c>
      <c r="N15" s="436" t="n">
        <v>3.03</v>
      </c>
      <c r="O15" s="436" t="n">
        <v>2.82</v>
      </c>
      <c r="P15" s="436" t="n">
        <v>4.05</v>
      </c>
      <c r="Q15" s="436" t="n">
        <v>0.06</v>
      </c>
      <c r="R15" s="436" t="n">
        <v>0.08</v>
      </c>
      <c r="S15" s="436" t="n">
        <v>0.08</v>
      </c>
      <c r="T15" s="436" t="n">
        <v>0.12</v>
      </c>
      <c r="U15" s="436" t="n">
        <v>7.63</v>
      </c>
      <c r="V15" s="436" t="n">
        <v>9.84</v>
      </c>
      <c r="W15" s="436" t="n">
        <v>1.49</v>
      </c>
      <c r="X15" s="436" t="n">
        <v>1.79</v>
      </c>
      <c r="Z15" s="436" t="n">
        <v>4.81</v>
      </c>
      <c r="AA15" s="436" t="n">
        <v>5.79</v>
      </c>
      <c r="AB15" s="436" t="n">
        <v>7.49</v>
      </c>
      <c r="AC15" s="436" t="n">
        <v>9.640000000000001</v>
      </c>
    </row>
    <row customFormat="1" customHeight="1" ht="18" r="16" s="333">
      <c r="B16" s="333" t="inlineStr">
        <is>
          <t>Santa_Margarita</t>
        </is>
      </c>
      <c r="C16" s="434" t="n">
        <v>11</v>
      </c>
      <c r="D16" s="434" t="inlineStr">
        <is>
          <t>SE2044</t>
        </is>
      </c>
      <c r="E16" s="434" t="inlineStr">
        <is>
          <t>ST2</t>
        </is>
      </c>
      <c r="F16" s="435" t="inlineStr">
        <is>
          <t>Santa_Margarita</t>
        </is>
      </c>
      <c r="G16" s="436" t="n">
        <v>0.3</v>
      </c>
      <c r="H16" s="436" t="n">
        <v>0.55</v>
      </c>
      <c r="I16" s="436" t="n">
        <v>4.49</v>
      </c>
      <c r="J16" s="436" t="n">
        <v>6.22</v>
      </c>
      <c r="K16" s="436" t="n">
        <v>2.56</v>
      </c>
      <c r="L16" s="436" t="n">
        <v>2.56</v>
      </c>
      <c r="M16" s="436" t="n">
        <v>1.94</v>
      </c>
      <c r="N16" s="436" t="n">
        <v>2.69</v>
      </c>
      <c r="O16" s="436" t="n">
        <v>2.33</v>
      </c>
      <c r="P16" s="436" t="n">
        <v>3.23</v>
      </c>
      <c r="Q16" s="436" t="n">
        <v>0.05</v>
      </c>
      <c r="R16" s="436" t="n">
        <v>0.07000000000000001</v>
      </c>
      <c r="S16" s="436" t="n">
        <v>0.17</v>
      </c>
      <c r="T16" s="436" t="n">
        <v>0.24</v>
      </c>
      <c r="U16" s="436" t="n">
        <v>7.05</v>
      </c>
      <c r="V16" s="436" t="n">
        <v>8.790000000000001</v>
      </c>
      <c r="W16" s="436" t="n">
        <v>1.69</v>
      </c>
      <c r="X16" s="436" t="n">
        <v>2.75</v>
      </c>
      <c r="Z16" s="436" t="n">
        <v>4.72</v>
      </c>
      <c r="AA16" s="436" t="n">
        <v>5.56</v>
      </c>
      <c r="AB16" s="436" t="n">
        <v>6.83</v>
      </c>
      <c r="AC16" s="436" t="n">
        <v>8.48</v>
      </c>
    </row>
    <row customFormat="1" customHeight="1" ht="18" r="17" s="333">
      <c r="B17" s="333" t="inlineStr">
        <is>
          <t>Chincha_Baja_Densidad</t>
        </is>
      </c>
      <c r="C17" s="434" t="n">
        <v>12</v>
      </c>
      <c r="D17" s="434" t="inlineStr">
        <is>
          <t>SE1043</t>
        </is>
      </c>
      <c r="E17" s="434" t="inlineStr">
        <is>
          <t>ST2</t>
        </is>
      </c>
      <c r="F17" s="435" t="inlineStr">
        <is>
          <t>Chincha_Baja_Densidad</t>
        </is>
      </c>
      <c r="G17" s="436" t="n">
        <v>0.74</v>
      </c>
      <c r="H17" s="436" t="n">
        <v>1.17</v>
      </c>
      <c r="I17" s="436" t="n">
        <v>5.87</v>
      </c>
      <c r="J17" s="436" t="n">
        <v>8.550000000000001</v>
      </c>
      <c r="K17" s="436" t="n">
        <v>2.56</v>
      </c>
      <c r="L17" s="436" t="n">
        <v>2.56</v>
      </c>
      <c r="M17" s="436" t="n">
        <v>2.27</v>
      </c>
      <c r="N17" s="436" t="n">
        <v>3.3</v>
      </c>
      <c r="O17" s="436" t="n">
        <v>3.47</v>
      </c>
      <c r="P17" s="436" t="n">
        <v>5.05</v>
      </c>
      <c r="Q17" s="436" t="n">
        <v>0.03</v>
      </c>
      <c r="R17" s="436" t="n">
        <v>0.04</v>
      </c>
      <c r="S17" s="436" t="n">
        <v>0.11</v>
      </c>
      <c r="T17" s="436" t="n">
        <v>0.17</v>
      </c>
      <c r="U17" s="436" t="n">
        <v>8.44</v>
      </c>
      <c r="V17" s="436" t="n">
        <v>11.12</v>
      </c>
      <c r="W17" s="436" t="n">
        <v>1.64</v>
      </c>
      <c r="X17" s="436" t="n">
        <v>2.94</v>
      </c>
      <c r="Z17" s="436" t="n">
        <v>4.969999999999999</v>
      </c>
      <c r="AA17" s="436" t="n">
        <v>6.069999999999999</v>
      </c>
      <c r="AB17" s="436" t="n">
        <v>8.300000000000001</v>
      </c>
      <c r="AC17" s="436" t="n">
        <v>10.91</v>
      </c>
    </row>
    <row customFormat="1" customHeight="1" ht="18" r="18" s="333">
      <c r="B18" s="333" t="inlineStr">
        <is>
          <t>Coracora</t>
        </is>
      </c>
      <c r="C18" s="434" t="n">
        <v>13</v>
      </c>
      <c r="D18" s="434" t="inlineStr">
        <is>
          <t>SE0047</t>
        </is>
      </c>
      <c r="E18" s="434" t="inlineStr">
        <is>
          <t>ST3</t>
        </is>
      </c>
      <c r="F18" s="435" t="inlineStr">
        <is>
          <t>Coracora</t>
        </is>
      </c>
      <c r="G18" s="436" t="n">
        <v>1.94</v>
      </c>
      <c r="H18" s="436" t="n">
        <v>3.1</v>
      </c>
      <c r="I18" s="436" t="n">
        <v>4.3</v>
      </c>
      <c r="J18" s="436" t="n">
        <v>6.75</v>
      </c>
      <c r="K18" s="436" t="n">
        <v>2.56</v>
      </c>
      <c r="L18" s="436" t="n">
        <v>2.56</v>
      </c>
      <c r="M18" s="436" t="n">
        <v>2.07</v>
      </c>
      <c r="N18" s="436" t="n">
        <v>3.24</v>
      </c>
      <c r="O18" s="436" t="n">
        <v>2.03</v>
      </c>
      <c r="P18" s="436" t="n">
        <v>3.18</v>
      </c>
      <c r="Q18" s="436" t="n">
        <v>0.04</v>
      </c>
      <c r="R18" s="436" t="n">
        <v>0.06</v>
      </c>
      <c r="S18" s="436" t="n">
        <v>0.17</v>
      </c>
      <c r="T18" s="436" t="n">
        <v>0.26</v>
      </c>
      <c r="U18" s="436" t="n">
        <v>6.87</v>
      </c>
      <c r="V18" s="436" t="n">
        <v>9.300000000000001</v>
      </c>
      <c r="W18" s="436" t="n">
        <v>8.52</v>
      </c>
      <c r="X18" s="436" t="n">
        <v>12.05</v>
      </c>
      <c r="Z18" s="436" t="n">
        <v>4.84</v>
      </c>
      <c r="AA18" s="436" t="n">
        <v>6.120000000000001</v>
      </c>
      <c r="AB18" s="436" t="n">
        <v>6.66</v>
      </c>
      <c r="AC18" s="436" t="n">
        <v>8.98</v>
      </c>
    </row>
    <row customFormat="1" customHeight="1" ht="18" r="19" s="333">
      <c r="B19" s="333" t="inlineStr">
        <is>
          <t>Tacama</t>
        </is>
      </c>
      <c r="C19" s="434" t="n">
        <v>14</v>
      </c>
      <c r="D19" s="434" t="inlineStr">
        <is>
          <t>SE3044</t>
        </is>
      </c>
      <c r="E19" s="434" t="inlineStr">
        <is>
          <t>ST3</t>
        </is>
      </c>
      <c r="F19" s="435" t="inlineStr">
        <is>
          <t>Tacama</t>
        </is>
      </c>
      <c r="G19" s="436" t="n">
        <v>1.91</v>
      </c>
      <c r="H19" s="436" t="n">
        <v>3.49</v>
      </c>
      <c r="I19" s="436" t="n">
        <v>2.72</v>
      </c>
      <c r="J19" s="436" t="n">
        <v>4.07</v>
      </c>
      <c r="K19" s="436" t="n">
        <v>2.56</v>
      </c>
      <c r="L19" s="436" t="n">
        <v>2.56</v>
      </c>
      <c r="M19" s="436" t="n">
        <v>1.47</v>
      </c>
      <c r="N19" s="436" t="n">
        <v>2.2</v>
      </c>
      <c r="O19" s="436" t="n">
        <v>1.03</v>
      </c>
      <c r="P19" s="436" t="n">
        <v>1.55</v>
      </c>
      <c r="Q19" s="436" t="n">
        <v>0.04</v>
      </c>
      <c r="R19" s="436" t="n">
        <v>0.06</v>
      </c>
      <c r="S19" s="436" t="n">
        <v>0.17</v>
      </c>
      <c r="T19" s="436" t="n">
        <v>0.26</v>
      </c>
      <c r="U19" s="436" t="n">
        <v>5.27</v>
      </c>
      <c r="V19" s="436" t="n">
        <v>6.629999999999999</v>
      </c>
      <c r="W19" s="436" t="n">
        <v>2.7</v>
      </c>
      <c r="X19" s="436" t="n">
        <v>5.03</v>
      </c>
      <c r="Z19" s="436" t="n">
        <v>4.24</v>
      </c>
      <c r="AA19" s="436" t="n">
        <v>5.079999999999999</v>
      </c>
      <c r="AB19" s="436" t="n">
        <v>5.06</v>
      </c>
      <c r="AC19" s="436" t="n">
        <v>6.31</v>
      </c>
    </row>
    <row customFormat="1" customHeight="1" ht="18" r="20" s="333">
      <c r="B20" s="333" t="inlineStr">
        <is>
          <t>Palpa</t>
        </is>
      </c>
      <c r="C20" s="434" t="n">
        <v>15</v>
      </c>
      <c r="D20" s="434" t="inlineStr">
        <is>
          <t>SE3045</t>
        </is>
      </c>
      <c r="E20" s="434" t="inlineStr">
        <is>
          <t>ST3</t>
        </is>
      </c>
      <c r="F20" s="435" t="inlineStr">
        <is>
          <t>Palpa</t>
        </is>
      </c>
      <c r="G20" s="436" t="n">
        <v>1.89</v>
      </c>
      <c r="H20" s="436" t="n">
        <v>3.03</v>
      </c>
      <c r="I20" s="436" t="n">
        <v>3.25</v>
      </c>
      <c r="J20" s="436" t="n">
        <v>4.85</v>
      </c>
      <c r="K20" s="436" t="n">
        <v>2.56</v>
      </c>
      <c r="L20" s="436" t="n">
        <v>2.56</v>
      </c>
      <c r="M20" s="436" t="n">
        <v>1.57</v>
      </c>
      <c r="N20" s="436" t="n">
        <v>2.35</v>
      </c>
      <c r="O20" s="436" t="n">
        <v>1.5</v>
      </c>
      <c r="P20" s="436" t="n">
        <v>2.25</v>
      </c>
      <c r="Q20" s="436" t="n">
        <v>0.04</v>
      </c>
      <c r="R20" s="436" t="n">
        <v>0.05</v>
      </c>
      <c r="S20" s="436" t="n">
        <v>0.13</v>
      </c>
      <c r="T20" s="436" t="n">
        <v>0.2</v>
      </c>
      <c r="U20" s="436" t="n">
        <v>5.8</v>
      </c>
      <c r="V20" s="436" t="n">
        <v>7.41</v>
      </c>
      <c r="W20" s="436" t="n">
        <v>6.36</v>
      </c>
      <c r="X20" s="436" t="n">
        <v>9.23</v>
      </c>
      <c r="Z20" s="436" t="n">
        <v>4.3</v>
      </c>
      <c r="AA20" s="436" t="n">
        <v>5.16</v>
      </c>
      <c r="AB20" s="436" t="n">
        <v>5.63</v>
      </c>
      <c r="AC20" s="436" t="n">
        <v>7.16</v>
      </c>
    </row>
    <row customFormat="1" customHeight="1" ht="18" r="21" s="333">
      <c r="B21" s="333" t="inlineStr">
        <is>
          <t>Pausa</t>
        </is>
      </c>
      <c r="C21" s="434" t="n">
        <v>16</v>
      </c>
      <c r="D21" s="434" t="inlineStr">
        <is>
          <t>SE0049</t>
        </is>
      </c>
      <c r="E21" s="434" t="inlineStr">
        <is>
          <t>ST3</t>
        </is>
      </c>
      <c r="F21" s="435" t="inlineStr">
        <is>
          <t>Pausa</t>
        </is>
      </c>
      <c r="G21" s="436" t="n">
        <v>0.38</v>
      </c>
      <c r="H21" s="436" t="n">
        <v>0.62</v>
      </c>
      <c r="I21" s="436" t="n">
        <v>4.91</v>
      </c>
      <c r="J21" s="436" t="n">
        <v>7.74</v>
      </c>
      <c r="K21" s="436" t="n">
        <v>2.56</v>
      </c>
      <c r="L21" s="436" t="n">
        <v>2.56</v>
      </c>
      <c r="M21" s="436" t="n">
        <v>2.22</v>
      </c>
      <c r="N21" s="436" t="n">
        <v>3.5</v>
      </c>
      <c r="O21" s="436" t="n">
        <v>2.52</v>
      </c>
      <c r="P21" s="436" t="n">
        <v>3.98</v>
      </c>
      <c r="Q21" s="436" t="n">
        <v>0.02</v>
      </c>
      <c r="R21" s="436" t="n">
        <v>0.03</v>
      </c>
      <c r="S21" s="436" t="n">
        <v>0.15</v>
      </c>
      <c r="T21" s="436" t="n">
        <v>0.23</v>
      </c>
      <c r="U21" s="436" t="n">
        <v>7.470000000000001</v>
      </c>
      <c r="V21" s="436" t="n">
        <v>10.3</v>
      </c>
      <c r="W21" s="436" t="n">
        <v>7.82</v>
      </c>
      <c r="X21" s="436" t="n">
        <v>10.86</v>
      </c>
      <c r="Z21" s="436" t="n">
        <v>4.950000000000001</v>
      </c>
      <c r="AA21" s="436" t="n">
        <v>6.32</v>
      </c>
      <c r="AB21" s="436" t="n">
        <v>7.300000000000001</v>
      </c>
      <c r="AC21" s="436" t="n">
        <v>10.04</v>
      </c>
    </row>
    <row customFormat="1" customHeight="1" ht="18" r="22" s="333">
      <c r="B22" s="333" t="inlineStr">
        <is>
          <t>Nasca_Rural</t>
        </is>
      </c>
      <c r="C22" s="434" t="n">
        <v>17</v>
      </c>
      <c r="D22" s="434" t="inlineStr">
        <is>
          <t>SE2045</t>
        </is>
      </c>
      <c r="E22" s="434" t="inlineStr">
        <is>
          <t>ST3</t>
        </is>
      </c>
      <c r="F22" s="435" t="inlineStr">
        <is>
          <t>Nasca_Rural</t>
        </is>
      </c>
      <c r="G22" s="436" t="n">
        <v>4.66</v>
      </c>
      <c r="H22" s="436" t="n">
        <v>6.8</v>
      </c>
      <c r="I22" s="436" t="n">
        <v>5.18</v>
      </c>
      <c r="J22" s="436" t="n">
        <v>7.55</v>
      </c>
      <c r="K22" s="436" t="n">
        <v>2.56</v>
      </c>
      <c r="L22" s="436" t="n">
        <v>2.56</v>
      </c>
      <c r="M22" s="436" t="n">
        <v>2.93</v>
      </c>
      <c r="N22" s="436" t="n">
        <v>4.28</v>
      </c>
      <c r="O22" s="436" t="n">
        <v>2.06</v>
      </c>
      <c r="P22" s="436" t="n">
        <v>3.01</v>
      </c>
      <c r="Q22" s="436" t="n">
        <v>0.03</v>
      </c>
      <c r="R22" s="436" t="n">
        <v>0.05</v>
      </c>
      <c r="S22" s="436" t="n">
        <v>0.15</v>
      </c>
      <c r="T22" s="436" t="n">
        <v>0.22</v>
      </c>
      <c r="U22" s="436" t="n">
        <v>7.730000000000001</v>
      </c>
      <c r="V22" s="436" t="n">
        <v>10.12</v>
      </c>
      <c r="W22" s="436" t="n">
        <v>4.94</v>
      </c>
      <c r="X22" s="436" t="n">
        <v>7.33</v>
      </c>
      <c r="Z22" s="436" t="n">
        <v>5.670000000000002</v>
      </c>
      <c r="AA22" s="436" t="n">
        <v>7.110000000000001</v>
      </c>
      <c r="AB22" s="436" t="n">
        <v>7.550000000000001</v>
      </c>
      <c r="AC22" s="436" t="n">
        <v>9.85</v>
      </c>
    </row>
    <row customFormat="1" customHeight="1" ht="18" r="23" s="333">
      <c r="B23" s="333" t="inlineStr">
        <is>
          <t>Pisco_Urbano_Rural</t>
        </is>
      </c>
      <c r="C23" s="434" t="n">
        <v>18</v>
      </c>
      <c r="D23" s="434" t="inlineStr">
        <is>
          <t>SE1046</t>
        </is>
      </c>
      <c r="E23" s="434" t="inlineStr">
        <is>
          <t>ST3</t>
        </is>
      </c>
      <c r="F23" s="435" t="inlineStr">
        <is>
          <t>Pisco_Urbano_Rural</t>
        </is>
      </c>
      <c r="G23" s="436" t="n">
        <v>3.93</v>
      </c>
      <c r="H23" s="436" t="n">
        <v>6.39</v>
      </c>
      <c r="I23" s="436" t="n">
        <v>4.82</v>
      </c>
      <c r="J23" s="436" t="n">
        <v>7.08</v>
      </c>
      <c r="K23" s="436" t="n">
        <v>2.56</v>
      </c>
      <c r="L23" s="436" t="n">
        <v>2.56</v>
      </c>
      <c r="M23" s="436" t="n">
        <v>2.5</v>
      </c>
      <c r="N23" s="436" t="n">
        <v>3.67</v>
      </c>
      <c r="O23" s="436" t="n">
        <v>2.15</v>
      </c>
      <c r="P23" s="436" t="n">
        <v>3.16</v>
      </c>
      <c r="Q23" s="436" t="n">
        <v>0.03</v>
      </c>
      <c r="R23" s="436" t="n">
        <v>0.04</v>
      </c>
      <c r="S23" s="436" t="n">
        <v>0.14</v>
      </c>
      <c r="T23" s="436" t="n">
        <v>0.21</v>
      </c>
      <c r="U23" s="436" t="n">
        <v>7.380000000000001</v>
      </c>
      <c r="V23" s="436" t="n">
        <v>9.640000000000001</v>
      </c>
      <c r="W23" s="436" t="n">
        <v>9.01</v>
      </c>
      <c r="X23" s="436" t="n">
        <v>12.61</v>
      </c>
      <c r="Z23" s="436" t="n">
        <v>5.23</v>
      </c>
      <c r="AA23" s="436" t="n">
        <v>6.48</v>
      </c>
      <c r="AB23" s="436" t="n">
        <v>7.210000000000001</v>
      </c>
      <c r="AC23" s="436" t="n">
        <v>9.390000000000001</v>
      </c>
    </row>
    <row customFormat="1" customHeight="1" ht="18" r="24" s="333">
      <c r="B24" s="333" t="inlineStr">
        <is>
          <t>Puquio</t>
        </is>
      </c>
      <c r="C24" s="434" t="n">
        <v>19</v>
      </c>
      <c r="D24" s="434" t="inlineStr">
        <is>
          <t>SE4045</t>
        </is>
      </c>
      <c r="E24" s="434" t="inlineStr">
        <is>
          <t>ST3</t>
        </is>
      </c>
      <c r="F24" s="435" t="inlineStr">
        <is>
          <t>Puquio</t>
        </is>
      </c>
      <c r="G24" s="436" t="n">
        <v>1.53</v>
      </c>
      <c r="H24" s="436" t="n">
        <v>2.49</v>
      </c>
      <c r="I24" s="436" t="n">
        <v>3.07</v>
      </c>
      <c r="J24" s="436" t="n">
        <v>4.89</v>
      </c>
      <c r="K24" s="436" t="n">
        <v>2.56</v>
      </c>
      <c r="L24" s="436" t="n">
        <v>2.56</v>
      </c>
      <c r="M24" s="436" t="n">
        <v>1.76</v>
      </c>
      <c r="N24" s="436" t="n">
        <v>2.81</v>
      </c>
      <c r="O24" s="436" t="n">
        <v>1.08</v>
      </c>
      <c r="P24" s="436" t="n">
        <v>1.72</v>
      </c>
      <c r="Q24" s="436" t="n">
        <v>0.03</v>
      </c>
      <c r="R24" s="436" t="n">
        <v>0.06</v>
      </c>
      <c r="S24" s="436" t="n">
        <v>0.19</v>
      </c>
      <c r="T24" s="436" t="n">
        <v>0.3</v>
      </c>
      <c r="U24" s="436" t="n">
        <v>5.620000000000001</v>
      </c>
      <c r="V24" s="436" t="n">
        <v>7.449999999999999</v>
      </c>
      <c r="W24" s="436" t="n">
        <v>6.9</v>
      </c>
      <c r="X24" s="436" t="n">
        <v>9.619999999999999</v>
      </c>
      <c r="Z24" s="436" t="n">
        <v>4.540000000000001</v>
      </c>
      <c r="AA24" s="436" t="n">
        <v>5.73</v>
      </c>
      <c r="AB24" s="436" t="n">
        <v>5.4</v>
      </c>
      <c r="AC24" s="436" t="n">
        <v>7.09</v>
      </c>
    </row>
    <row customFormat="1" customHeight="1" ht="18" r="25" s="333">
      <c r="B25" s="333" t="inlineStr">
        <is>
          <t>Palpa_Rural</t>
        </is>
      </c>
      <c r="C25" s="434" t="n">
        <v>20</v>
      </c>
      <c r="D25" s="434" t="inlineStr">
        <is>
          <t>SE0246</t>
        </is>
      </c>
      <c r="E25" s="434" t="inlineStr">
        <is>
          <t>ST3</t>
        </is>
      </c>
      <c r="F25" s="435" t="inlineStr">
        <is>
          <t>Palpa_Rural</t>
        </is>
      </c>
      <c r="G25" s="436" t="n">
        <v>5.58</v>
      </c>
      <c r="H25" s="436" t="n">
        <v>8.470000000000001</v>
      </c>
      <c r="I25" s="436" t="n">
        <v>2.87</v>
      </c>
      <c r="J25" s="436" t="n">
        <v>4.82</v>
      </c>
      <c r="K25" s="436" t="n">
        <v>2.56</v>
      </c>
      <c r="L25" s="436" t="n">
        <v>2.56</v>
      </c>
      <c r="M25" s="436" t="n">
        <v>2.08</v>
      </c>
      <c r="N25" s="436" t="n">
        <v>3.49</v>
      </c>
      <c r="O25" s="436" t="n">
        <v>0.59</v>
      </c>
      <c r="P25" s="436" t="n">
        <v>1</v>
      </c>
      <c r="Q25" s="436" t="n">
        <v>0.02</v>
      </c>
      <c r="R25" s="436" t="n">
        <v>0.04</v>
      </c>
      <c r="S25" s="436" t="n">
        <v>0.18</v>
      </c>
      <c r="T25" s="436" t="n">
        <v>0.3</v>
      </c>
      <c r="U25" s="436" t="n">
        <v>5.43</v>
      </c>
      <c r="V25" s="436" t="n">
        <v>7.390000000000001</v>
      </c>
      <c r="W25" s="436" t="n">
        <v>6.78</v>
      </c>
      <c r="X25" s="436" t="n">
        <v>11.19</v>
      </c>
      <c r="Z25" s="436" t="n">
        <v>4.84</v>
      </c>
      <c r="AA25" s="436" t="n">
        <v>6.390000000000001</v>
      </c>
      <c r="AB25" s="436" t="n">
        <v>5.23</v>
      </c>
      <c r="AC25" s="436" t="n">
        <v>7.050000000000001</v>
      </c>
    </row>
    <row customFormat="1" customHeight="1" ht="18" r="26" s="333">
      <c r="B26" s="333" t="inlineStr">
        <is>
          <t>Huaytará_Chocorvos</t>
        </is>
      </c>
      <c r="C26" s="434" t="n">
        <v>21</v>
      </c>
      <c r="D26" s="434" t="inlineStr">
        <is>
          <t>SE0051</t>
        </is>
      </c>
      <c r="E26" s="434" t="inlineStr">
        <is>
          <t>ST4</t>
        </is>
      </c>
      <c r="F26" s="435" t="inlineStr">
        <is>
          <t>Huaytará_Chocorvos</t>
        </is>
      </c>
      <c r="G26" s="436" t="n">
        <v>8.43</v>
      </c>
      <c r="H26" s="436" t="n">
        <v>13.06</v>
      </c>
      <c r="I26" s="436" t="n">
        <v>5.33</v>
      </c>
      <c r="J26" s="436" t="n">
        <v>8.640000000000001</v>
      </c>
      <c r="K26" s="436" t="n">
        <v>2.56</v>
      </c>
      <c r="L26" s="436" t="n">
        <v>2.56</v>
      </c>
      <c r="M26" s="436" t="n">
        <v>2.45</v>
      </c>
      <c r="N26" s="436" t="n">
        <v>3.96</v>
      </c>
      <c r="O26" s="436" t="n">
        <v>2.58</v>
      </c>
      <c r="P26" s="436" t="n">
        <v>4.18</v>
      </c>
      <c r="Q26" s="436" t="n">
        <v>0.03</v>
      </c>
      <c r="R26" s="436" t="n">
        <v>0.04</v>
      </c>
      <c r="S26" s="436" t="n">
        <v>0.28</v>
      </c>
      <c r="T26" s="436" t="n">
        <v>0.45</v>
      </c>
      <c r="U26" s="436" t="n">
        <v>7.9</v>
      </c>
      <c r="V26" s="436" t="n">
        <v>11.19</v>
      </c>
      <c r="W26" s="436" t="n">
        <v>14.68</v>
      </c>
      <c r="X26" s="436" t="n">
        <v>21.91</v>
      </c>
      <c r="Z26" s="436" t="n">
        <v>5.32</v>
      </c>
      <c r="AA26" s="436" t="n">
        <v>7.009999999999998</v>
      </c>
      <c r="AB26" s="436" t="n">
        <v>7.59</v>
      </c>
      <c r="AC26" s="436" t="n">
        <v>10.7</v>
      </c>
    </row>
    <row customFormat="1" customHeight="1" ht="18" r="27" s="333">
      <c r="B27" s="333" t="inlineStr">
        <is>
          <t>Chaviña</t>
        </is>
      </c>
      <c r="C27" s="434" t="n">
        <v>22</v>
      </c>
      <c r="D27" s="434" t="inlineStr">
        <is>
          <t>SE0053</t>
        </is>
      </c>
      <c r="E27" s="434" t="inlineStr">
        <is>
          <t>ST4</t>
        </is>
      </c>
      <c r="F27" s="435" t="inlineStr">
        <is>
          <t>Chaviña</t>
        </is>
      </c>
      <c r="G27" s="436" t="n">
        <v>0.79</v>
      </c>
      <c r="H27" s="436" t="n">
        <v>1.48</v>
      </c>
      <c r="I27" s="436" t="n">
        <v>3.82</v>
      </c>
      <c r="J27" s="436" t="n">
        <v>6.96</v>
      </c>
      <c r="K27" s="436" t="n">
        <v>2.56</v>
      </c>
      <c r="L27" s="436" t="n">
        <v>2.56</v>
      </c>
      <c r="M27" s="436" t="n">
        <v>1.91</v>
      </c>
      <c r="N27" s="436" t="n">
        <v>3.48</v>
      </c>
      <c r="O27" s="436" t="n">
        <v>1.53</v>
      </c>
      <c r="P27" s="436" t="n">
        <v>2.79</v>
      </c>
      <c r="Q27" s="436" t="n">
        <v>0.08</v>
      </c>
      <c r="R27" s="436" t="n">
        <v>0.14</v>
      </c>
      <c r="S27" s="436" t="n">
        <v>0.3</v>
      </c>
      <c r="T27" s="436" t="n">
        <v>0.5600000000000001</v>
      </c>
      <c r="U27" s="436" t="n">
        <v>6.38</v>
      </c>
      <c r="V27" s="436" t="n">
        <v>9.530000000000001</v>
      </c>
      <c r="W27" s="436" t="n">
        <v>7.12</v>
      </c>
      <c r="X27" s="436" t="n">
        <v>10.86</v>
      </c>
      <c r="Z27" s="436" t="n">
        <v>4.85</v>
      </c>
      <c r="AA27" s="436" t="n">
        <v>6.740000000000001</v>
      </c>
      <c r="AB27" s="436" t="n">
        <v>6</v>
      </c>
      <c r="AC27" s="436" t="n">
        <v>8.83</v>
      </c>
    </row>
    <row customFormat="1" customHeight="1" ht="18" r="28" s="333">
      <c r="B28" s="333" t="inlineStr">
        <is>
          <t>Incuyo</t>
        </is>
      </c>
      <c r="C28" s="434" t="n">
        <v>23</v>
      </c>
      <c r="D28" s="434" t="inlineStr">
        <is>
          <t>SE0054</t>
        </is>
      </c>
      <c r="E28" s="434" t="inlineStr">
        <is>
          <t>ST4</t>
        </is>
      </c>
      <c r="F28" s="435" t="inlineStr">
        <is>
          <t>Incuyo</t>
        </is>
      </c>
      <c r="G28" s="436" t="n">
        <v>2.15</v>
      </c>
      <c r="H28" s="436" t="n">
        <v>3.9</v>
      </c>
      <c r="I28" s="436" t="n">
        <v>3.71</v>
      </c>
      <c r="J28" s="436" t="n">
        <v>6.62</v>
      </c>
      <c r="K28" s="436" t="n">
        <v>2.56</v>
      </c>
      <c r="L28" s="436" t="n">
        <v>2.56</v>
      </c>
      <c r="M28" s="436" t="n">
        <v>2.33</v>
      </c>
      <c r="N28" s="436" t="n">
        <v>4.15</v>
      </c>
      <c r="O28" s="436" t="n">
        <v>0.85</v>
      </c>
      <c r="P28" s="436" t="n">
        <v>1.51</v>
      </c>
      <c r="Q28" s="436" t="n">
        <v>0.01</v>
      </c>
      <c r="R28" s="436" t="n">
        <v>0.02</v>
      </c>
      <c r="S28" s="436" t="n">
        <v>0.53</v>
      </c>
      <c r="T28" s="436" t="n">
        <v>0.9399999999999999</v>
      </c>
      <c r="U28" s="436" t="n">
        <v>6.28</v>
      </c>
      <c r="V28" s="436" t="n">
        <v>9.18</v>
      </c>
      <c r="W28" s="436" t="n">
        <v>8.289999999999999</v>
      </c>
      <c r="X28" s="436" t="n">
        <v>12.72</v>
      </c>
      <c r="Z28" s="436" t="n">
        <v>5.430000000000001</v>
      </c>
      <c r="AA28" s="436" t="n">
        <v>7.67</v>
      </c>
      <c r="AB28" s="436" t="n">
        <v>5.74</v>
      </c>
      <c r="AC28" s="436" t="n">
        <v>8.220000000000001</v>
      </c>
    </row>
    <row customFormat="1" customHeight="1" ht="18" r="29" s="333">
      <c r="B29" s="333" t="inlineStr">
        <is>
          <t>Tambo_Quemado</t>
        </is>
      </c>
      <c r="C29" s="434" t="n">
        <v>24</v>
      </c>
      <c r="D29" s="434" t="inlineStr">
        <is>
          <t>SE0056</t>
        </is>
      </c>
      <c r="E29" s="434" t="inlineStr">
        <is>
          <t>ST4</t>
        </is>
      </c>
      <c r="F29" s="435" t="inlineStr">
        <is>
          <t>Tambo_Quemado</t>
        </is>
      </c>
      <c r="G29" s="436" t="n">
        <v>0.05</v>
      </c>
      <c r="H29" s="436" t="n">
        <v>0.08</v>
      </c>
      <c r="I29" s="436" t="n">
        <v>5.52</v>
      </c>
      <c r="J29" s="436" t="n">
        <v>9.48</v>
      </c>
      <c r="K29" s="436" t="n">
        <v>2.56</v>
      </c>
      <c r="L29" s="436" t="n">
        <v>2.56</v>
      </c>
      <c r="M29" s="436" t="n">
        <v>2.5</v>
      </c>
      <c r="N29" s="436" t="n">
        <v>4.29</v>
      </c>
      <c r="O29" s="436" t="n">
        <v>2.69</v>
      </c>
      <c r="P29" s="436" t="n">
        <v>4.62</v>
      </c>
      <c r="Q29" s="436" t="n">
        <v>0.08</v>
      </c>
      <c r="R29" s="436" t="n">
        <v>0.13</v>
      </c>
      <c r="S29" s="436" t="n">
        <v>0.25</v>
      </c>
      <c r="T29" s="436" t="n">
        <v>0.43</v>
      </c>
      <c r="U29" s="436" t="n">
        <v>8.08</v>
      </c>
      <c r="V29" s="436" t="n">
        <v>12.03</v>
      </c>
      <c r="W29" s="436" t="n">
        <v>8.119999999999999</v>
      </c>
      <c r="X29" s="436" t="n">
        <v>12.11</v>
      </c>
      <c r="Z29" s="436" t="n">
        <v>5.390000000000001</v>
      </c>
      <c r="AA29" s="436" t="n">
        <v>7.409999999999999</v>
      </c>
      <c r="AB29" s="436" t="n">
        <v>7.75</v>
      </c>
      <c r="AC29" s="436" t="n">
        <v>11.47</v>
      </c>
    </row>
    <row customFormat="1" customHeight="1" ht="18" r="30" s="333">
      <c r="B30" s="333" t="inlineStr">
        <is>
          <t>Puquio_Rural</t>
        </is>
      </c>
      <c r="C30" s="434" t="n">
        <v>25</v>
      </c>
      <c r="D30" s="434" t="inlineStr">
        <is>
          <t>SE0247</t>
        </is>
      </c>
      <c r="E30" s="434" t="inlineStr">
        <is>
          <t>ST4</t>
        </is>
      </c>
      <c r="F30" s="435" t="inlineStr">
        <is>
          <t>Puquio_Rural</t>
        </is>
      </c>
      <c r="G30" s="436" t="n">
        <v>3.41</v>
      </c>
      <c r="H30" s="436" t="n">
        <v>5.68</v>
      </c>
      <c r="I30" s="436" t="n">
        <v>3.05</v>
      </c>
      <c r="J30" s="436" t="n">
        <v>5.6</v>
      </c>
      <c r="K30" s="436" t="n">
        <v>2.56</v>
      </c>
      <c r="L30" s="436" t="n">
        <v>2.56</v>
      </c>
      <c r="M30" s="436" t="n">
        <v>1.99</v>
      </c>
      <c r="N30" s="436" t="n">
        <v>3.65</v>
      </c>
      <c r="O30" s="436" t="n">
        <v>0.7</v>
      </c>
      <c r="P30" s="436" t="n">
        <v>1.28</v>
      </c>
      <c r="Q30" s="436" t="n">
        <v>0.03</v>
      </c>
      <c r="R30" s="436" t="n">
        <v>0.06</v>
      </c>
      <c r="S30" s="436" t="n">
        <v>0.33</v>
      </c>
      <c r="T30" s="436" t="n">
        <v>0.6</v>
      </c>
      <c r="U30" s="436" t="n">
        <v>5.61</v>
      </c>
      <c r="V30" s="436" t="n">
        <v>8.15</v>
      </c>
      <c r="W30" s="436" t="n">
        <v>6.45</v>
      </c>
      <c r="X30" s="436" t="n">
        <v>10.74</v>
      </c>
      <c r="Z30" s="436" t="n">
        <v>4.91</v>
      </c>
      <c r="AA30" s="436" t="n">
        <v>6.87</v>
      </c>
      <c r="AB30" s="436" t="n">
        <v>5.25</v>
      </c>
      <c r="AC30" s="436" t="n">
        <v>7.49</v>
      </c>
    </row>
    <row customFormat="1" customHeight="1" ht="18" r="31" s="333">
      <c r="B31" s="333" t="inlineStr">
        <is>
          <t>SER_Chincha</t>
        </is>
      </c>
      <c r="C31" s="434" t="n">
        <v>26</v>
      </c>
      <c r="D31" s="434" t="inlineStr">
        <is>
          <t>SR0043</t>
        </is>
      </c>
      <c r="E31" s="434" t="inlineStr">
        <is>
          <t>SER</t>
        </is>
      </c>
      <c r="F31" s="435" t="inlineStr">
        <is>
          <t>SER_Chincha</t>
        </is>
      </c>
      <c r="G31" s="436" t="n">
        <v>1.86</v>
      </c>
      <c r="H31" s="436" t="n">
        <v>3.32</v>
      </c>
      <c r="I31" s="436" t="n">
        <v>4.5</v>
      </c>
      <c r="J31" s="436" t="n">
        <v>7.82</v>
      </c>
      <c r="K31" s="436" t="n">
        <v>2.56</v>
      </c>
      <c r="L31" s="436" t="n">
        <v>2.56</v>
      </c>
      <c r="M31" s="436" t="n">
        <v>2.33</v>
      </c>
      <c r="N31" s="436" t="n">
        <v>4.05</v>
      </c>
      <c r="O31" s="436" t="n">
        <v>2.17</v>
      </c>
      <c r="P31" s="436" t="n">
        <v>3.77</v>
      </c>
      <c r="Q31" s="436" t="n">
        <v>0</v>
      </c>
      <c r="R31" s="436" t="n">
        <v>0</v>
      </c>
      <c r="S31" s="436" t="n">
        <v>0</v>
      </c>
      <c r="T31" s="436" t="n">
        <v>0</v>
      </c>
      <c r="U31" s="436" t="n">
        <v>7.06</v>
      </c>
      <c r="V31" s="436" t="n">
        <v>10.38</v>
      </c>
      <c r="W31" s="436" t="n">
        <v>8.789999999999999</v>
      </c>
      <c r="X31" s="436" t="n">
        <v>13.35</v>
      </c>
      <c r="Z31" s="436" t="n">
        <v>4.890000000000001</v>
      </c>
      <c r="AA31" s="436" t="n">
        <v>6.609999999999999</v>
      </c>
      <c r="AB31" s="436" t="n">
        <v>7.06</v>
      </c>
      <c r="AC31" s="436" t="n">
        <v>10.38</v>
      </c>
    </row>
    <row customFormat="1" customHeight="1" ht="18" r="32" s="333">
      <c r="B32" s="333" t="inlineStr">
        <is>
          <t>SER_Nasca</t>
        </is>
      </c>
      <c r="C32" s="434" t="n">
        <v>27</v>
      </c>
      <c r="D32" s="434" t="inlineStr">
        <is>
          <t>SR0045</t>
        </is>
      </c>
      <c r="E32" s="434" t="inlineStr">
        <is>
          <t>SER</t>
        </is>
      </c>
      <c r="F32" s="435" t="inlineStr">
        <is>
          <t>SER_Nasca</t>
        </is>
      </c>
      <c r="G32" s="436" t="n">
        <v>1.8</v>
      </c>
      <c r="H32" s="436" t="n">
        <v>3.32</v>
      </c>
      <c r="I32" s="436" t="n">
        <v>4.34</v>
      </c>
      <c r="J32" s="436" t="n">
        <v>7.82</v>
      </c>
      <c r="K32" s="436" t="n">
        <v>2.56</v>
      </c>
      <c r="L32" s="436" t="n">
        <v>2.56</v>
      </c>
      <c r="M32" s="436" t="n">
        <v>2.25</v>
      </c>
      <c r="N32" s="436" t="n">
        <v>4.05</v>
      </c>
      <c r="O32" s="436" t="n">
        <v>2.09</v>
      </c>
      <c r="P32" s="436" t="n">
        <v>3.77</v>
      </c>
      <c r="Q32" s="436" t="n">
        <v>0</v>
      </c>
      <c r="R32" s="436" t="n">
        <v>0</v>
      </c>
      <c r="S32" s="436" t="n">
        <v>0</v>
      </c>
      <c r="T32" s="436" t="n">
        <v>0</v>
      </c>
      <c r="U32" s="436" t="n">
        <v>6.9</v>
      </c>
      <c r="V32" s="436" t="n">
        <v>10.38</v>
      </c>
      <c r="W32" s="436" t="n">
        <v>8.58</v>
      </c>
      <c r="X32" s="436" t="n">
        <v>13.35</v>
      </c>
      <c r="Z32" s="436" t="n">
        <v>4.81</v>
      </c>
      <c r="AA32" s="436" t="n">
        <v>6.609999999999999</v>
      </c>
      <c r="AB32" s="436" t="n">
        <v>6.9</v>
      </c>
      <c r="AC32" s="436" t="n">
        <v>10.38</v>
      </c>
    </row>
    <row customHeight="1" ht="15.75" r="35">
      <c r="C35" s="568" t="inlineStr">
        <is>
          <t>FACTOR DE EXPANSIÓN DE PERDIDAS DE ELECTRO DUNAS S.A.A.</t>
        </is>
      </c>
    </row>
    <row r="37">
      <c r="C37" s="562" t="inlineStr">
        <is>
          <t>Ítem</t>
        </is>
      </c>
      <c r="D37" s="562" t="inlineStr">
        <is>
          <t>Código</t>
        </is>
      </c>
      <c r="E37" s="562" t="inlineStr">
        <is>
          <t>Sector Típico</t>
        </is>
      </c>
      <c r="F37" s="562" t="inlineStr">
        <is>
          <t>Sistema Eléctrico</t>
        </is>
      </c>
      <c r="G37" s="562" t="inlineStr">
        <is>
          <t>PEMT</t>
        </is>
      </c>
      <c r="H37" s="562" t="inlineStr">
        <is>
          <t>PPMT</t>
        </is>
      </c>
      <c r="I37" s="562" t="inlineStr">
        <is>
          <t>PEBTSED</t>
        </is>
      </c>
      <c r="J37" s="562" t="inlineStr">
        <is>
          <t>PPBTSED</t>
        </is>
      </c>
      <c r="K37" s="562" t="inlineStr">
        <is>
          <t>PEBT</t>
        </is>
      </c>
      <c r="L37" s="562" t="inlineStr">
        <is>
          <t>PPBT</t>
        </is>
      </c>
      <c r="M37" s="562" t="inlineStr">
        <is>
          <t>PEBTCO</t>
        </is>
      </c>
      <c r="N37" s="562" t="inlineStr">
        <is>
          <t>PPBTCO</t>
        </is>
      </c>
    </row>
    <row r="38">
      <c r="C38" s="612" t="n"/>
      <c r="D38" s="612" t="n"/>
      <c r="E38" s="612" t="n"/>
      <c r="F38" s="612" t="n"/>
      <c r="G38" s="612" t="n"/>
      <c r="H38" s="612" t="n"/>
      <c r="I38" s="612" t="n"/>
      <c r="J38" s="612" t="n"/>
      <c r="K38" s="612" t="n"/>
      <c r="L38" s="612" t="n"/>
      <c r="M38" s="612" t="n"/>
      <c r="N38" s="612" t="n"/>
    </row>
    <row r="39">
      <c r="C39" s="434" t="n">
        <v>1</v>
      </c>
      <c r="D39" s="434" t="inlineStr">
        <is>
          <t>Emp</t>
        </is>
      </c>
      <c r="E39" s="434" t="inlineStr">
        <is>
          <t>Emp</t>
        </is>
      </c>
      <c r="F39" s="435" t="inlineStr">
        <is>
          <t>Empresa</t>
        </is>
      </c>
      <c r="G39" s="644">
        <f>ROUND(1/(1-G6/100),4)</f>
        <v/>
      </c>
      <c r="H39" s="644">
        <f>ROUND(1/(1-H6/100),4)</f>
        <v/>
      </c>
      <c r="I39" s="644">
        <f>ROUND(1/(1-(U6-O6-Q6-S6)/100),4)</f>
        <v/>
      </c>
      <c r="J39" s="644">
        <f>ROUND(1/(1-(V6-P6-R6-T6)/100),4)</f>
        <v/>
      </c>
      <c r="K39" s="644">
        <f>ROUND(1/(1-U6/100),4)</f>
        <v/>
      </c>
      <c r="L39" s="644">
        <f>ROUND(1/(1-V6/100),4)</f>
        <v/>
      </c>
      <c r="M39" s="644">
        <f>ROUND(1/(1-AB6/100),4)</f>
        <v/>
      </c>
      <c r="N39" s="644">
        <f>ROUND(1/(1-AC6/100),4)</f>
        <v/>
      </c>
    </row>
    <row r="40">
      <c r="C40" s="434" t="n">
        <v>2</v>
      </c>
      <c r="D40" s="434" t="inlineStr">
        <is>
          <t>ST2</t>
        </is>
      </c>
      <c r="E40" s="434" t="inlineStr">
        <is>
          <t>ST2</t>
        </is>
      </c>
      <c r="F40" s="435" t="inlineStr">
        <is>
          <t>Sector_Típico_2</t>
        </is>
      </c>
      <c r="G40" s="644">
        <f>ROUND(1/(1-G7/100),4)</f>
        <v/>
      </c>
      <c r="H40" s="644">
        <f>ROUND(1/(1-H7/100),4)</f>
        <v/>
      </c>
      <c r="I40" s="644">
        <f>ROUND(1/(1-(U7-O7-Q7-S7)/100),4)</f>
        <v/>
      </c>
      <c r="J40" s="644">
        <f>ROUND(1/(1-(V7-P7-R7-T7)/100),4)</f>
        <v/>
      </c>
      <c r="K40" s="644">
        <f>ROUND(1/(1-U7/100),4)</f>
        <v/>
      </c>
      <c r="L40" s="644">
        <f>ROUND(1/(1-V7/100),4)</f>
        <v/>
      </c>
      <c r="M40" s="644">
        <f>ROUND(1/(1-AB7/100),4)</f>
        <v/>
      </c>
      <c r="N40" s="644">
        <f>ROUND(1/(1-AC7/100),4)</f>
        <v/>
      </c>
    </row>
    <row r="41">
      <c r="C41" s="434" t="n">
        <v>3</v>
      </c>
      <c r="D41" s="434" t="inlineStr">
        <is>
          <t>ST3</t>
        </is>
      </c>
      <c r="E41" s="434" t="inlineStr">
        <is>
          <t>ST3</t>
        </is>
      </c>
      <c r="F41" s="435" t="inlineStr">
        <is>
          <t>Sector_Típico_3</t>
        </is>
      </c>
      <c r="G41" s="644">
        <f>ROUND(1/(1-G8/100),4)</f>
        <v/>
      </c>
      <c r="H41" s="644">
        <f>ROUND(1/(1-H8/100),4)</f>
        <v/>
      </c>
      <c r="I41" s="644">
        <f>ROUND(1/(1-(U8-O8-Q8-S8)/100),4)</f>
        <v/>
      </c>
      <c r="J41" s="644">
        <f>ROUND(1/(1-(V8-P8-R8-T8)/100),4)</f>
        <v/>
      </c>
      <c r="K41" s="644">
        <f>ROUND(1/(1-U8/100),4)</f>
        <v/>
      </c>
      <c r="L41" s="644">
        <f>ROUND(1/(1-V8/100),4)</f>
        <v/>
      </c>
      <c r="M41" s="644">
        <f>ROUND(1/(1-AB8/100),4)</f>
        <v/>
      </c>
      <c r="N41" s="644">
        <f>ROUND(1/(1-AC8/100),4)</f>
        <v/>
      </c>
    </row>
    <row r="42">
      <c r="C42" s="434" t="n">
        <v>4</v>
      </c>
      <c r="D42" s="434" t="inlineStr">
        <is>
          <t>ST4</t>
        </is>
      </c>
      <c r="E42" s="434" t="inlineStr">
        <is>
          <t>ST4</t>
        </is>
      </c>
      <c r="F42" s="435" t="inlineStr">
        <is>
          <t>Sector_Típico_4</t>
        </is>
      </c>
      <c r="G42" s="644">
        <f>ROUND(1/(1-G9/100),4)</f>
        <v/>
      </c>
      <c r="H42" s="644">
        <f>ROUND(1/(1-H9/100),4)</f>
        <v/>
      </c>
      <c r="I42" s="644">
        <f>ROUND(1/(1-(U9-O9-Q9-S9)/100),4)</f>
        <v/>
      </c>
      <c r="J42" s="644">
        <f>ROUND(1/(1-(V9-P9-R9-T9)/100),4)</f>
        <v/>
      </c>
      <c r="K42" s="644">
        <f>ROUND(1/(1-U9/100),4)</f>
        <v/>
      </c>
      <c r="L42" s="644">
        <f>ROUND(1/(1-V9/100),4)</f>
        <v/>
      </c>
      <c r="M42" s="644">
        <f>ROUND(1/(1-AB9/100),4)</f>
        <v/>
      </c>
      <c r="N42" s="644">
        <f>ROUND(1/(1-AC9/100),4)</f>
        <v/>
      </c>
    </row>
    <row r="43">
      <c r="C43" s="434" t="n">
        <v>5</v>
      </c>
      <c r="D43" s="434" t="inlineStr">
        <is>
          <t>SER</t>
        </is>
      </c>
      <c r="E43" s="434" t="inlineStr">
        <is>
          <t>SER</t>
        </is>
      </c>
      <c r="F43" s="435" t="inlineStr">
        <is>
          <t>Sector_Típico_SER</t>
        </is>
      </c>
      <c r="G43" s="644">
        <f>ROUND(1/(1-G10/100),4)</f>
        <v/>
      </c>
      <c r="H43" s="644">
        <f>ROUND(1/(1-H10/100),4)</f>
        <v/>
      </c>
      <c r="I43" s="644">
        <f>ROUND(1/(1-(U10-O10-Q10-S10)/100),4)</f>
        <v/>
      </c>
      <c r="J43" s="644">
        <f>ROUND(1/(1-(V10-P10-R10-T10)/100),4)</f>
        <v/>
      </c>
      <c r="K43" s="644">
        <f>ROUND(1/(1-U10/100),4)</f>
        <v/>
      </c>
      <c r="L43" s="644">
        <f>ROUND(1/(1-V10/100),4)</f>
        <v/>
      </c>
      <c r="M43" s="644">
        <f>ROUND(1/(1-AB10/100),4)</f>
        <v/>
      </c>
      <c r="N43" s="644">
        <f>ROUND(1/(1-AC10/100),4)</f>
        <v/>
      </c>
    </row>
    <row r="44">
      <c r="C44" s="434" t="n">
        <v>6</v>
      </c>
      <c r="D44" s="434" t="inlineStr">
        <is>
          <t>SE0043</t>
        </is>
      </c>
      <c r="E44" s="434" t="inlineStr">
        <is>
          <t>ST2</t>
        </is>
      </c>
      <c r="F44" s="435" t="inlineStr">
        <is>
          <t>Chincha</t>
        </is>
      </c>
      <c r="G44" s="644">
        <f>ROUND(1/(1-G11/100),4)</f>
        <v/>
      </c>
      <c r="H44" s="644">
        <f>ROUND(1/(1-H11/100),4)</f>
        <v/>
      </c>
      <c r="I44" s="644">
        <f>ROUND(1/(1-(U11-O11-Q11-S11)/100),4)</f>
        <v/>
      </c>
      <c r="J44" s="644">
        <f>ROUND(1/(1-(V11-P11-R11-T11)/100),4)</f>
        <v/>
      </c>
      <c r="K44" s="644">
        <f>ROUND(1/(1-U11/100),4)</f>
        <v/>
      </c>
      <c r="L44" s="644">
        <f>ROUND(1/(1-V11/100),4)</f>
        <v/>
      </c>
      <c r="M44" s="644">
        <f>ROUND(1/(1-AB11/100),4)</f>
        <v/>
      </c>
      <c r="N44" s="644">
        <f>ROUND(1/(1-AC11/100),4)</f>
        <v/>
      </c>
    </row>
    <row r="45">
      <c r="C45" s="434" t="n">
        <v>7</v>
      </c>
      <c r="D45" s="434" t="inlineStr">
        <is>
          <t>SE0044</t>
        </is>
      </c>
      <c r="E45" s="434" t="inlineStr">
        <is>
          <t>ST2</t>
        </is>
      </c>
      <c r="F45" s="435" t="inlineStr">
        <is>
          <t>Ica</t>
        </is>
      </c>
      <c r="G45" s="644">
        <f>ROUND(1/(1-G12/100),4)</f>
        <v/>
      </c>
      <c r="H45" s="644">
        <f>ROUND(1/(1-H12/100),4)</f>
        <v/>
      </c>
      <c r="I45" s="644">
        <f>ROUND(1/(1-(U12-O12-Q12-S12)/100),4)</f>
        <v/>
      </c>
      <c r="J45" s="644">
        <f>ROUND(1/(1-(V12-P12-R12-T12)/100),4)</f>
        <v/>
      </c>
      <c r="K45" s="644">
        <f>ROUND(1/(1-U12/100),4)</f>
        <v/>
      </c>
      <c r="L45" s="644">
        <f>ROUND(1/(1-V12/100),4)</f>
        <v/>
      </c>
      <c r="M45" s="644">
        <f>ROUND(1/(1-AB12/100),4)</f>
        <v/>
      </c>
      <c r="N45" s="644">
        <f>ROUND(1/(1-AC12/100),4)</f>
        <v/>
      </c>
    </row>
    <row r="46">
      <c r="C46" s="434" t="n">
        <v>8</v>
      </c>
      <c r="D46" s="434" t="inlineStr">
        <is>
          <t>SE0046</t>
        </is>
      </c>
      <c r="E46" s="434" t="inlineStr">
        <is>
          <t>ST2</t>
        </is>
      </c>
      <c r="F46" s="435" t="inlineStr">
        <is>
          <t>Pisco</t>
        </is>
      </c>
      <c r="G46" s="644">
        <f>ROUND(1/(1-G13/100),4)</f>
        <v/>
      </c>
      <c r="H46" s="644">
        <f>ROUND(1/(1-H13/100),4)</f>
        <v/>
      </c>
      <c r="I46" s="644">
        <f>ROUND(1/(1-(U13-O13-Q13-S13)/100),4)</f>
        <v/>
      </c>
      <c r="J46" s="644">
        <f>ROUND(1/(1-(V13-P13-R13-T13)/100),4)</f>
        <v/>
      </c>
      <c r="K46" s="644">
        <f>ROUND(1/(1-U13/100),4)</f>
        <v/>
      </c>
      <c r="L46" s="644">
        <f>ROUND(1/(1-V13/100),4)</f>
        <v/>
      </c>
      <c r="M46" s="644">
        <f>ROUND(1/(1-AB13/100),4)</f>
        <v/>
      </c>
      <c r="N46" s="644">
        <f>ROUND(1/(1-AC13/100),4)</f>
        <v/>
      </c>
    </row>
    <row r="47">
      <c r="C47" s="434" t="n">
        <v>9</v>
      </c>
      <c r="D47" s="434" t="inlineStr">
        <is>
          <t>SE1045</t>
        </is>
      </c>
      <c r="E47" s="434" t="inlineStr">
        <is>
          <t>ST2</t>
        </is>
      </c>
      <c r="F47" s="435" t="inlineStr">
        <is>
          <t>Nasca</t>
        </is>
      </c>
      <c r="G47" s="644">
        <f>ROUND(1/(1-G14/100),4)</f>
        <v/>
      </c>
      <c r="H47" s="644">
        <f>ROUND(1/(1-H14/100),4)</f>
        <v/>
      </c>
      <c r="I47" s="644">
        <f>ROUND(1/(1-(U14-O14-Q14-S14)/100),4)</f>
        <v/>
      </c>
      <c r="J47" s="644">
        <f>ROUND(1/(1-(V14-P14-R14-T14)/100),4)</f>
        <v/>
      </c>
      <c r="K47" s="644">
        <f>ROUND(1/(1-U14/100),4)</f>
        <v/>
      </c>
      <c r="L47" s="644">
        <f>ROUND(1/(1-V14/100),4)</f>
        <v/>
      </c>
      <c r="M47" s="644">
        <f>ROUND(1/(1-AB14/100),4)</f>
        <v/>
      </c>
      <c r="N47" s="644">
        <f>ROUND(1/(1-AC14/100),4)</f>
        <v/>
      </c>
    </row>
    <row r="48">
      <c r="C48" s="434" t="n">
        <v>10</v>
      </c>
      <c r="D48" s="434" t="inlineStr">
        <is>
          <t>SE2046</t>
        </is>
      </c>
      <c r="E48" s="434" t="inlineStr">
        <is>
          <t>ST2</t>
        </is>
      </c>
      <c r="F48" s="435" t="inlineStr">
        <is>
          <t>Paracas</t>
        </is>
      </c>
      <c r="G48" s="644">
        <f>ROUND(1/(1-G15/100),4)</f>
        <v/>
      </c>
      <c r="H48" s="644">
        <f>ROUND(1/(1-H15/100),4)</f>
        <v/>
      </c>
      <c r="I48" s="644">
        <f>ROUND(1/(1-(U15-O15-Q15-S15)/100),4)</f>
        <v/>
      </c>
      <c r="J48" s="644">
        <f>ROUND(1/(1-(V15-P15-R15-T15)/100),4)</f>
        <v/>
      </c>
      <c r="K48" s="644">
        <f>ROUND(1/(1-U15/100),4)</f>
        <v/>
      </c>
      <c r="L48" s="644">
        <f>ROUND(1/(1-V15/100),4)</f>
        <v/>
      </c>
      <c r="M48" s="644">
        <f>ROUND(1/(1-AB15/100),4)</f>
        <v/>
      </c>
      <c r="N48" s="644">
        <f>ROUND(1/(1-AC15/100),4)</f>
        <v/>
      </c>
    </row>
    <row r="49">
      <c r="C49" s="434" t="n">
        <v>11</v>
      </c>
      <c r="D49" s="434" t="inlineStr">
        <is>
          <t>SE2044</t>
        </is>
      </c>
      <c r="E49" s="434" t="inlineStr">
        <is>
          <t>ST2</t>
        </is>
      </c>
      <c r="F49" s="435" t="inlineStr">
        <is>
          <t>Santa_Margarita</t>
        </is>
      </c>
      <c r="G49" s="644">
        <f>ROUND(1/(1-G16/100),4)</f>
        <v/>
      </c>
      <c r="H49" s="644">
        <f>ROUND(1/(1-H16/100),4)</f>
        <v/>
      </c>
      <c r="I49" s="644">
        <f>ROUND(1/(1-(U16-O16-Q16-S16)/100),4)</f>
        <v/>
      </c>
      <c r="J49" s="644">
        <f>ROUND(1/(1-(V16-P16-R16-T16)/100),4)</f>
        <v/>
      </c>
      <c r="K49" s="644">
        <f>ROUND(1/(1-U16/100),4)</f>
        <v/>
      </c>
      <c r="L49" s="644">
        <f>ROUND(1/(1-V16/100),4)</f>
        <v/>
      </c>
      <c r="M49" s="644">
        <f>ROUND(1/(1-AB16/100),4)</f>
        <v/>
      </c>
      <c r="N49" s="644">
        <f>ROUND(1/(1-AC16/100),4)</f>
        <v/>
      </c>
    </row>
    <row r="50">
      <c r="C50" s="434" t="n">
        <v>12</v>
      </c>
      <c r="D50" s="434" t="inlineStr">
        <is>
          <t>SE1043</t>
        </is>
      </c>
      <c r="E50" s="434" t="inlineStr">
        <is>
          <t>ST2</t>
        </is>
      </c>
      <c r="F50" s="435" t="inlineStr">
        <is>
          <t>Chincha_Baja_Densidad</t>
        </is>
      </c>
      <c r="G50" s="644">
        <f>ROUND(1/(1-G17/100),4)</f>
        <v/>
      </c>
      <c r="H50" s="644">
        <f>ROUND(1/(1-H17/100),4)</f>
        <v/>
      </c>
      <c r="I50" s="644">
        <f>ROUND(1/(1-(U17-O17-Q17-S17)/100),4)</f>
        <v/>
      </c>
      <c r="J50" s="644">
        <f>ROUND(1/(1-(V17-P17-R17-T17)/100),4)</f>
        <v/>
      </c>
      <c r="K50" s="644">
        <f>ROUND(1/(1-U17/100),4)</f>
        <v/>
      </c>
      <c r="L50" s="644">
        <f>ROUND(1/(1-V17/100),4)</f>
        <v/>
      </c>
      <c r="M50" s="644">
        <f>ROUND(1/(1-AB17/100),4)</f>
        <v/>
      </c>
      <c r="N50" s="644">
        <f>ROUND(1/(1-AC17/100),4)</f>
        <v/>
      </c>
    </row>
    <row r="51">
      <c r="C51" s="434" t="n">
        <v>13</v>
      </c>
      <c r="D51" s="434" t="inlineStr">
        <is>
          <t>SE0047</t>
        </is>
      </c>
      <c r="E51" s="434" t="inlineStr">
        <is>
          <t>ST3</t>
        </is>
      </c>
      <c r="F51" s="435" t="inlineStr">
        <is>
          <t>Coracora</t>
        </is>
      </c>
      <c r="G51" s="644">
        <f>ROUND(1/(1-G18/100),4)</f>
        <v/>
      </c>
      <c r="H51" s="644">
        <f>ROUND(1/(1-H18/100),4)</f>
        <v/>
      </c>
      <c r="I51" s="644">
        <f>ROUND(1/(1-(U18-O18-Q18-S18)/100),4)</f>
        <v/>
      </c>
      <c r="J51" s="644">
        <f>ROUND(1/(1-(V18-P18-R18-T18)/100),4)</f>
        <v/>
      </c>
      <c r="K51" s="644">
        <f>ROUND(1/(1-U18/100),4)</f>
        <v/>
      </c>
      <c r="L51" s="644">
        <f>ROUND(1/(1-V18/100),4)</f>
        <v/>
      </c>
      <c r="M51" s="644">
        <f>ROUND(1/(1-AB18/100),4)</f>
        <v/>
      </c>
      <c r="N51" s="644">
        <f>ROUND(1/(1-AC18/100),4)</f>
        <v/>
      </c>
    </row>
    <row r="52">
      <c r="C52" s="434" t="n">
        <v>14</v>
      </c>
      <c r="D52" s="434" t="inlineStr">
        <is>
          <t>SE3044</t>
        </is>
      </c>
      <c r="E52" s="434" t="inlineStr">
        <is>
          <t>ST3</t>
        </is>
      </c>
      <c r="F52" s="435" t="inlineStr">
        <is>
          <t>Tacama</t>
        </is>
      </c>
      <c r="G52" s="644">
        <f>ROUND(1/(1-G19/100),4)</f>
        <v/>
      </c>
      <c r="H52" s="644">
        <f>ROUND(1/(1-H19/100),4)</f>
        <v/>
      </c>
      <c r="I52" s="644">
        <f>ROUND(1/(1-(U19-O19-Q19-S19)/100),4)</f>
        <v/>
      </c>
      <c r="J52" s="644">
        <f>ROUND(1/(1-(V19-P19-R19-T19)/100),4)</f>
        <v/>
      </c>
      <c r="K52" s="644">
        <f>ROUND(1/(1-U19/100),4)</f>
        <v/>
      </c>
      <c r="L52" s="644">
        <f>ROUND(1/(1-V19/100),4)</f>
        <v/>
      </c>
      <c r="M52" s="644">
        <f>ROUND(1/(1-AB19/100),4)</f>
        <v/>
      </c>
      <c r="N52" s="644">
        <f>ROUND(1/(1-AC19/100),4)</f>
        <v/>
      </c>
    </row>
    <row r="53">
      <c r="C53" s="434" t="n">
        <v>15</v>
      </c>
      <c r="D53" s="434" t="inlineStr">
        <is>
          <t>SE3045</t>
        </is>
      </c>
      <c r="E53" s="434" t="inlineStr">
        <is>
          <t>ST3</t>
        </is>
      </c>
      <c r="F53" s="435" t="inlineStr">
        <is>
          <t>Palpa</t>
        </is>
      </c>
      <c r="G53" s="644">
        <f>ROUND(1/(1-G20/100),4)</f>
        <v/>
      </c>
      <c r="H53" s="644">
        <f>ROUND(1/(1-H20/100),4)</f>
        <v/>
      </c>
      <c r="I53" s="644">
        <f>ROUND(1/(1-(U20-O20-Q20-S20)/100),4)</f>
        <v/>
      </c>
      <c r="J53" s="644">
        <f>ROUND(1/(1-(V20-P20-R20-T20)/100),4)</f>
        <v/>
      </c>
      <c r="K53" s="644">
        <f>ROUND(1/(1-U20/100),4)</f>
        <v/>
      </c>
      <c r="L53" s="644">
        <f>ROUND(1/(1-V20/100),4)</f>
        <v/>
      </c>
      <c r="M53" s="644">
        <f>ROUND(1/(1-AB20/100),4)</f>
        <v/>
      </c>
      <c r="N53" s="644">
        <f>ROUND(1/(1-AC20/100),4)</f>
        <v/>
      </c>
    </row>
    <row r="54">
      <c r="C54" s="434" t="n">
        <v>16</v>
      </c>
      <c r="D54" s="434" t="inlineStr">
        <is>
          <t>SE0049</t>
        </is>
      </c>
      <c r="E54" s="434" t="inlineStr">
        <is>
          <t>ST3</t>
        </is>
      </c>
      <c r="F54" s="435" t="inlineStr">
        <is>
          <t>Pausa</t>
        </is>
      </c>
      <c r="G54" s="644">
        <f>ROUND(1/(1-G21/100),4)</f>
        <v/>
      </c>
      <c r="H54" s="644">
        <f>ROUND(1/(1-H21/100),4)</f>
        <v/>
      </c>
      <c r="I54" s="644">
        <f>ROUND(1/(1-(U21-O21-Q21-S21)/100),4)</f>
        <v/>
      </c>
      <c r="J54" s="644">
        <f>ROUND(1/(1-(V21-P21-R21-T21)/100),4)</f>
        <v/>
      </c>
      <c r="K54" s="644">
        <f>ROUND(1/(1-U21/100),4)</f>
        <v/>
      </c>
      <c r="L54" s="644">
        <f>ROUND(1/(1-V21/100),4)</f>
        <v/>
      </c>
      <c r="M54" s="644">
        <f>ROUND(1/(1-AB21/100),4)</f>
        <v/>
      </c>
      <c r="N54" s="644">
        <f>ROUND(1/(1-AC21/100),4)</f>
        <v/>
      </c>
    </row>
    <row r="55">
      <c r="C55" s="434" t="n">
        <v>17</v>
      </c>
      <c r="D55" s="434" t="inlineStr">
        <is>
          <t>SE2045</t>
        </is>
      </c>
      <c r="E55" s="434" t="inlineStr">
        <is>
          <t>ST3</t>
        </is>
      </c>
      <c r="F55" s="435" t="inlineStr">
        <is>
          <t>Nasca_Rural</t>
        </is>
      </c>
      <c r="G55" s="644">
        <f>ROUND(1/(1-G22/100),4)</f>
        <v/>
      </c>
      <c r="H55" s="644">
        <f>ROUND(1/(1-H22/100),4)</f>
        <v/>
      </c>
      <c r="I55" s="644">
        <f>ROUND(1/(1-(U22-O22-Q22-S22)/100),4)</f>
        <v/>
      </c>
      <c r="J55" s="644">
        <f>ROUND(1/(1-(V22-P22-R22-T22)/100),4)</f>
        <v/>
      </c>
      <c r="K55" s="644">
        <f>ROUND(1/(1-U22/100),4)</f>
        <v/>
      </c>
      <c r="L55" s="644">
        <f>ROUND(1/(1-V22/100),4)</f>
        <v/>
      </c>
      <c r="M55" s="644">
        <f>ROUND(1/(1-AB22/100),4)</f>
        <v/>
      </c>
      <c r="N55" s="644">
        <f>ROUND(1/(1-AC22/100),4)</f>
        <v/>
      </c>
    </row>
    <row r="56">
      <c r="C56" s="434" t="n">
        <v>18</v>
      </c>
      <c r="D56" s="434" t="inlineStr">
        <is>
          <t>SE1046</t>
        </is>
      </c>
      <c r="E56" s="434" t="inlineStr">
        <is>
          <t>ST3</t>
        </is>
      </c>
      <c r="F56" s="435" t="inlineStr">
        <is>
          <t>Pisco_Urbano_Rural</t>
        </is>
      </c>
      <c r="G56" s="644">
        <f>ROUND(1/(1-G23/100),4)</f>
        <v/>
      </c>
      <c r="H56" s="644">
        <f>ROUND(1/(1-H23/100),4)</f>
        <v/>
      </c>
      <c r="I56" s="644">
        <f>ROUND(1/(1-(U23-O23-Q23-S23)/100),4)</f>
        <v/>
      </c>
      <c r="J56" s="644">
        <f>ROUND(1/(1-(V23-P23-R23-T23)/100),4)</f>
        <v/>
      </c>
      <c r="K56" s="644">
        <f>ROUND(1/(1-U23/100),4)</f>
        <v/>
      </c>
      <c r="L56" s="644">
        <f>ROUND(1/(1-V23/100),4)</f>
        <v/>
      </c>
      <c r="M56" s="644">
        <f>ROUND(1/(1-AB23/100),4)</f>
        <v/>
      </c>
      <c r="N56" s="644">
        <f>ROUND(1/(1-AC23/100),4)</f>
        <v/>
      </c>
    </row>
    <row r="57">
      <c r="C57" s="434" t="n">
        <v>19</v>
      </c>
      <c r="D57" s="434" t="inlineStr">
        <is>
          <t>SE4045</t>
        </is>
      </c>
      <c r="E57" s="434" t="inlineStr">
        <is>
          <t>ST3</t>
        </is>
      </c>
      <c r="F57" s="435" t="inlineStr">
        <is>
          <t>Puquio</t>
        </is>
      </c>
      <c r="G57" s="644">
        <f>ROUND(1/(1-G24/100),4)</f>
        <v/>
      </c>
      <c r="H57" s="644">
        <f>ROUND(1/(1-H24/100),4)</f>
        <v/>
      </c>
      <c r="I57" s="644">
        <f>ROUND(1/(1-(U24-O24-Q24-S24)/100),4)</f>
        <v/>
      </c>
      <c r="J57" s="644">
        <f>ROUND(1/(1-(V24-P24-R24-T24)/100),4)</f>
        <v/>
      </c>
      <c r="K57" s="644">
        <f>ROUND(1/(1-U24/100),4)</f>
        <v/>
      </c>
      <c r="L57" s="644">
        <f>ROUND(1/(1-V24/100),4)</f>
        <v/>
      </c>
      <c r="M57" s="644">
        <f>ROUND(1/(1-AB24/100),4)</f>
        <v/>
      </c>
      <c r="N57" s="644">
        <f>ROUND(1/(1-AC24/100),4)</f>
        <v/>
      </c>
    </row>
    <row r="58">
      <c r="C58" s="434" t="n">
        <v>20</v>
      </c>
      <c r="D58" s="434" t="inlineStr">
        <is>
          <t>SE0246</t>
        </is>
      </c>
      <c r="E58" s="434" t="inlineStr">
        <is>
          <t>ST3</t>
        </is>
      </c>
      <c r="F58" s="435" t="inlineStr">
        <is>
          <t>Palpa_Rural</t>
        </is>
      </c>
      <c r="G58" s="644">
        <f>ROUND(1/(1-G25/100),4)</f>
        <v/>
      </c>
      <c r="H58" s="644">
        <f>ROUND(1/(1-H25/100),4)</f>
        <v/>
      </c>
      <c r="I58" s="644">
        <f>ROUND(1/(1-(U25-O25-Q25-S25)/100),4)</f>
        <v/>
      </c>
      <c r="J58" s="644">
        <f>ROUND(1/(1-(V25-P25-R25-T25)/100),4)</f>
        <v/>
      </c>
      <c r="K58" s="644">
        <f>ROUND(1/(1-U25/100),4)</f>
        <v/>
      </c>
      <c r="L58" s="644">
        <f>ROUND(1/(1-V25/100),4)</f>
        <v/>
      </c>
      <c r="M58" s="644">
        <f>ROUND(1/(1-AB25/100),4)</f>
        <v/>
      </c>
      <c r="N58" s="644">
        <f>ROUND(1/(1-AC25/100),4)</f>
        <v/>
      </c>
    </row>
    <row r="59">
      <c r="C59" s="434" t="n">
        <v>21</v>
      </c>
      <c r="D59" s="434" t="inlineStr">
        <is>
          <t>SE0051</t>
        </is>
      </c>
      <c r="E59" s="434" t="inlineStr">
        <is>
          <t>ST4</t>
        </is>
      </c>
      <c r="F59" s="435" t="inlineStr">
        <is>
          <t>Huaytará_Chocorvos</t>
        </is>
      </c>
      <c r="G59" s="644">
        <f>ROUND(1/(1-G26/100),4)</f>
        <v/>
      </c>
      <c r="H59" s="644">
        <f>ROUND(1/(1-H26/100),4)</f>
        <v/>
      </c>
      <c r="I59" s="644">
        <f>ROUND(1/(1-(U26-O26-Q26-S26)/100),4)</f>
        <v/>
      </c>
      <c r="J59" s="644">
        <f>ROUND(1/(1-(V26-P26-R26-T26)/100),4)</f>
        <v/>
      </c>
      <c r="K59" s="644">
        <f>ROUND(1/(1-U26/100),4)</f>
        <v/>
      </c>
      <c r="L59" s="644">
        <f>ROUND(1/(1-V26/100),4)</f>
        <v/>
      </c>
      <c r="M59" s="644">
        <f>ROUND(1/(1-AB26/100),4)</f>
        <v/>
      </c>
      <c r="N59" s="644">
        <f>ROUND(1/(1-AC26/100),4)</f>
        <v/>
      </c>
    </row>
    <row r="60">
      <c r="C60" s="434" t="n">
        <v>22</v>
      </c>
      <c r="D60" s="434" t="inlineStr">
        <is>
          <t>SE0053</t>
        </is>
      </c>
      <c r="E60" s="434" t="inlineStr">
        <is>
          <t>ST4</t>
        </is>
      </c>
      <c r="F60" s="435" t="inlineStr">
        <is>
          <t>Chaviña</t>
        </is>
      </c>
      <c r="G60" s="644">
        <f>ROUND(1/(1-G27/100),4)</f>
        <v/>
      </c>
      <c r="H60" s="644">
        <f>ROUND(1/(1-H27/100),4)</f>
        <v/>
      </c>
      <c r="I60" s="644">
        <f>ROUND(1/(1-(U27-O27-Q27-S27)/100),4)</f>
        <v/>
      </c>
      <c r="J60" s="644">
        <f>ROUND(1/(1-(V27-P27-R27-T27)/100),4)</f>
        <v/>
      </c>
      <c r="K60" s="644">
        <f>ROUND(1/(1-U27/100),4)</f>
        <v/>
      </c>
      <c r="L60" s="644">
        <f>ROUND(1/(1-V27/100),4)</f>
        <v/>
      </c>
      <c r="M60" s="644">
        <f>ROUND(1/(1-AB27/100),4)</f>
        <v/>
      </c>
      <c r="N60" s="644">
        <f>ROUND(1/(1-AC27/100),4)</f>
        <v/>
      </c>
    </row>
    <row r="61">
      <c r="C61" s="434" t="n">
        <v>23</v>
      </c>
      <c r="D61" s="434" t="inlineStr">
        <is>
          <t>SE0054</t>
        </is>
      </c>
      <c r="E61" s="434" t="inlineStr">
        <is>
          <t>ST4</t>
        </is>
      </c>
      <c r="F61" s="435" t="inlineStr">
        <is>
          <t>Incuyo</t>
        </is>
      </c>
      <c r="G61" s="644">
        <f>ROUND(1/(1-G28/100),4)</f>
        <v/>
      </c>
      <c r="H61" s="644">
        <f>ROUND(1/(1-H28/100),4)</f>
        <v/>
      </c>
      <c r="I61" s="644">
        <f>ROUND(1/(1-(U28-O28-Q28-S28)/100),4)</f>
        <v/>
      </c>
      <c r="J61" s="644">
        <f>ROUND(1/(1-(V28-P28-R28-T28)/100),4)</f>
        <v/>
      </c>
      <c r="K61" s="644">
        <f>ROUND(1/(1-U28/100),4)</f>
        <v/>
      </c>
      <c r="L61" s="644">
        <f>ROUND(1/(1-V28/100),4)</f>
        <v/>
      </c>
      <c r="M61" s="644">
        <f>ROUND(1/(1-AB28/100),4)</f>
        <v/>
      </c>
      <c r="N61" s="644">
        <f>ROUND(1/(1-AC28/100),4)</f>
        <v/>
      </c>
    </row>
    <row r="62">
      <c r="C62" s="434" t="n">
        <v>24</v>
      </c>
      <c r="D62" s="434" t="inlineStr">
        <is>
          <t>SE0056</t>
        </is>
      </c>
      <c r="E62" s="434" t="inlineStr">
        <is>
          <t>ST4</t>
        </is>
      </c>
      <c r="F62" s="435" t="inlineStr">
        <is>
          <t>Tambo_Quemado</t>
        </is>
      </c>
      <c r="G62" s="644">
        <f>ROUND(1/(1-G29/100),4)</f>
        <v/>
      </c>
      <c r="H62" s="644">
        <f>ROUND(1/(1-H29/100),4)</f>
        <v/>
      </c>
      <c r="I62" s="644">
        <f>ROUND(1/(1-(U29-O29-Q29-S29)/100),4)</f>
        <v/>
      </c>
      <c r="J62" s="644">
        <f>ROUND(1/(1-(V29-P29-R29-T29)/100),4)</f>
        <v/>
      </c>
      <c r="K62" s="644">
        <f>ROUND(1/(1-U29/100),4)</f>
        <v/>
      </c>
      <c r="L62" s="644">
        <f>ROUND(1/(1-V29/100),4)</f>
        <v/>
      </c>
      <c r="M62" s="644">
        <f>ROUND(1/(1-AB29/100),4)</f>
        <v/>
      </c>
      <c r="N62" s="644">
        <f>ROUND(1/(1-AC29/100),4)</f>
        <v/>
      </c>
    </row>
    <row r="63">
      <c r="C63" s="434" t="n">
        <v>25</v>
      </c>
      <c r="D63" s="434" t="inlineStr">
        <is>
          <t>SE0247</t>
        </is>
      </c>
      <c r="E63" s="434" t="inlineStr">
        <is>
          <t>ST4</t>
        </is>
      </c>
      <c r="F63" s="435" t="inlineStr">
        <is>
          <t>Puquio_Rural</t>
        </is>
      </c>
      <c r="G63" s="644">
        <f>ROUND(1/(1-G30/100),4)</f>
        <v/>
      </c>
      <c r="H63" s="644">
        <f>ROUND(1/(1-H30/100),4)</f>
        <v/>
      </c>
      <c r="I63" s="644">
        <f>ROUND(1/(1-(U30-O30-Q30-S30)/100),4)</f>
        <v/>
      </c>
      <c r="J63" s="644">
        <f>ROUND(1/(1-(V30-P30-R30-T30)/100),4)</f>
        <v/>
      </c>
      <c r="K63" s="644">
        <f>ROUND(1/(1-U30/100),4)</f>
        <v/>
      </c>
      <c r="L63" s="644">
        <f>ROUND(1/(1-V30/100),4)</f>
        <v/>
      </c>
      <c r="M63" s="644">
        <f>ROUND(1/(1-AB30/100),4)</f>
        <v/>
      </c>
      <c r="N63" s="644">
        <f>ROUND(1/(1-AC30/100),4)</f>
        <v/>
      </c>
    </row>
    <row r="64">
      <c r="C64" s="434" t="n">
        <v>26</v>
      </c>
      <c r="D64" s="434" t="inlineStr">
        <is>
          <t>SR0043</t>
        </is>
      </c>
      <c r="E64" s="434" t="inlineStr">
        <is>
          <t>SER</t>
        </is>
      </c>
      <c r="F64" s="435" t="inlineStr">
        <is>
          <t>SER_Chincha</t>
        </is>
      </c>
      <c r="G64" s="644">
        <f>ROUND(1/(1-G31/100),4)</f>
        <v/>
      </c>
      <c r="H64" s="644">
        <f>ROUND(1/(1-H31/100),4)</f>
        <v/>
      </c>
      <c r="I64" s="644">
        <f>ROUND(1/(1-(U31-O31-Q31-S31)/100),4)</f>
        <v/>
      </c>
      <c r="J64" s="644">
        <f>ROUND(1/(1-(V31-P31-R31-T31)/100),4)</f>
        <v/>
      </c>
      <c r="K64" s="644">
        <f>ROUND(1/(1-U31/100),4)</f>
        <v/>
      </c>
      <c r="L64" s="644">
        <f>ROUND(1/(1-V31/100),4)</f>
        <v/>
      </c>
      <c r="M64" s="644">
        <f>ROUND(1/(1-AB31/100),4)</f>
        <v/>
      </c>
      <c r="N64" s="644">
        <f>ROUND(1/(1-AC31/100),4)</f>
        <v/>
      </c>
    </row>
    <row r="65">
      <c r="C65" s="434" t="n">
        <v>27</v>
      </c>
      <c r="D65" s="434" t="inlineStr">
        <is>
          <t>SR0045</t>
        </is>
      </c>
      <c r="E65" s="434" t="inlineStr">
        <is>
          <t>SER</t>
        </is>
      </c>
      <c r="F65" s="435" t="inlineStr">
        <is>
          <t>SER_Nasca</t>
        </is>
      </c>
      <c r="G65" s="644">
        <f>ROUND(1/(1-G32/100),4)</f>
        <v/>
      </c>
      <c r="H65" s="644">
        <f>ROUND(1/(1-H32/100),4)</f>
        <v/>
      </c>
      <c r="I65" s="644">
        <f>ROUND(1/(1-(U32-O32-Q32-S32)/100),4)</f>
        <v/>
      </c>
      <c r="J65" s="644">
        <f>ROUND(1/(1-(V32-P32-R32-T32)/100),4)</f>
        <v/>
      </c>
      <c r="K65" s="644">
        <f>ROUND(1/(1-U32/100),4)</f>
        <v/>
      </c>
      <c r="L65" s="644">
        <f>ROUND(1/(1-V32/100),4)</f>
        <v/>
      </c>
      <c r="M65" s="644">
        <f>ROUND(1/(1-AB32/100),4)</f>
        <v/>
      </c>
      <c r="N65" s="644">
        <f>ROUND(1/(1-AC32/100),4)</f>
        <v/>
      </c>
    </row>
    <row r="68">
      <c r="C68" s="1" t="inlineStr">
        <is>
          <t>Cuadros para el Informe:</t>
        </is>
      </c>
    </row>
    <row customHeight="1" ht="30" r="71">
      <c r="F71" s="334" t="n"/>
      <c r="G71" s="562" t="inlineStr">
        <is>
          <t>Sector    Típico 2</t>
        </is>
      </c>
      <c r="H71" s="562" t="inlineStr">
        <is>
          <t>Sector    Típico 3</t>
        </is>
      </c>
      <c r="I71" s="562" t="inlineStr">
        <is>
          <t>Sector    Típico 4</t>
        </is>
      </c>
      <c r="J71" s="562" t="inlineStr">
        <is>
          <t>Sector    Típico SER</t>
        </is>
      </c>
    </row>
    <row r="72">
      <c r="F72" s="438" t="inlineStr">
        <is>
          <t>Media Tensión</t>
        </is>
      </c>
      <c r="G72" s="562" t="n"/>
      <c r="H72" s="562" t="n"/>
      <c r="I72" s="562" t="n"/>
      <c r="J72" s="562" t="n"/>
    </row>
    <row r="73">
      <c r="F73" s="439" t="inlineStr">
        <is>
          <t>Energía</t>
        </is>
      </c>
      <c r="G73" s="440">
        <f>$G$7/100</f>
        <v/>
      </c>
      <c r="H73" s="440">
        <f>$G$8/100</f>
        <v/>
      </c>
      <c r="I73" s="440">
        <f>$G$9/100</f>
        <v/>
      </c>
      <c r="J73" s="440">
        <f>$G$10/100</f>
        <v/>
      </c>
    </row>
    <row r="74">
      <c r="F74" s="439" t="inlineStr">
        <is>
          <t>Potencia</t>
        </is>
      </c>
      <c r="G74" s="440">
        <f>$H$7/100</f>
        <v/>
      </c>
      <c r="H74" s="440">
        <f>$H$8/100</f>
        <v/>
      </c>
      <c r="I74" s="440">
        <f>$H$9/100</f>
        <v/>
      </c>
      <c r="J74" s="440">
        <f>$H$10/100</f>
        <v/>
      </c>
    </row>
    <row r="75">
      <c r="F75" s="438" t="inlineStr">
        <is>
          <t xml:space="preserve">Baja Tensión  </t>
        </is>
      </c>
      <c r="G75" s="562" t="n"/>
      <c r="H75" s="562" t="n"/>
      <c r="I75" s="562" t="n"/>
      <c r="J75" s="562" t="n"/>
    </row>
    <row r="76">
      <c r="F76" s="441" t="inlineStr">
        <is>
          <t>Energía</t>
        </is>
      </c>
      <c r="G76" s="442">
        <f>G77+G82</f>
        <v/>
      </c>
      <c r="H76" s="442">
        <f>H77+H82</f>
        <v/>
      </c>
      <c r="I76" s="442">
        <f>I77+I82</f>
        <v/>
      </c>
      <c r="J76" s="442">
        <f>J77+J82</f>
        <v/>
      </c>
    </row>
    <row r="77">
      <c r="F77" s="439" t="inlineStr">
        <is>
          <t>Técnicas</t>
        </is>
      </c>
      <c r="G77" s="443">
        <f>SUM(G78:G81)</f>
        <v/>
      </c>
      <c r="H77" s="443">
        <f>SUM(H78:H81)</f>
        <v/>
      </c>
      <c r="I77" s="443">
        <f>SUM(I78:I81)</f>
        <v/>
      </c>
      <c r="J77" s="443">
        <f>SUM(J78:J81)</f>
        <v/>
      </c>
    </row>
    <row r="78">
      <c r="F78" s="444" t="inlineStr">
        <is>
          <t>SEDs MT/BT</t>
        </is>
      </c>
      <c r="G78" s="440">
        <f>$M$7/100</f>
        <v/>
      </c>
      <c r="H78" s="440">
        <f>$M$8/100</f>
        <v/>
      </c>
      <c r="I78" s="440">
        <f>$M$9/100</f>
        <v/>
      </c>
      <c r="J78" s="440">
        <f>$M$10/100</f>
        <v/>
      </c>
    </row>
    <row r="79">
      <c r="F79" s="444" t="inlineStr">
        <is>
          <t>Redes BT-SP</t>
        </is>
      </c>
      <c r="G79" s="440">
        <f>$O$7/100</f>
        <v/>
      </c>
      <c r="H79" s="440">
        <f>$O$8/100</f>
        <v/>
      </c>
      <c r="I79" s="440">
        <f>$O$9/100</f>
        <v/>
      </c>
      <c r="J79" s="440">
        <f>$O$10/100</f>
        <v/>
      </c>
    </row>
    <row r="80">
      <c r="F80" s="444" t="inlineStr">
        <is>
          <t>Acometidas</t>
        </is>
      </c>
      <c r="G80" s="440">
        <f>$Q$7/100</f>
        <v/>
      </c>
      <c r="H80" s="440">
        <f>$Q$8/100</f>
        <v/>
      </c>
      <c r="I80" s="440">
        <f>$Q$9/100</f>
        <v/>
      </c>
      <c r="J80" s="440">
        <f>$Q$10/100</f>
        <v/>
      </c>
    </row>
    <row r="81">
      <c r="F81" s="444" t="inlineStr">
        <is>
          <t>Medidores</t>
        </is>
      </c>
      <c r="G81" s="440">
        <f>$S$7/100</f>
        <v/>
      </c>
      <c r="H81" s="440">
        <f>$S$8/100</f>
        <v/>
      </c>
      <c r="I81" s="440">
        <f>$S$9/100</f>
        <v/>
      </c>
      <c r="J81" s="440">
        <f>$S$10/100</f>
        <v/>
      </c>
    </row>
    <row r="82">
      <c r="F82" s="439" t="inlineStr">
        <is>
          <t>No Técnicas</t>
        </is>
      </c>
      <c r="G82" s="443">
        <f>$K$7/100</f>
        <v/>
      </c>
      <c r="H82" s="443">
        <f>$K$8/100</f>
        <v/>
      </c>
      <c r="I82" s="443">
        <f>$K$9/100</f>
        <v/>
      </c>
      <c r="J82" s="443">
        <f>$K$10/100</f>
        <v/>
      </c>
    </row>
    <row r="83">
      <c r="F83" s="445" t="n"/>
      <c r="G83" s="445" t="n"/>
      <c r="H83" s="445" t="n"/>
      <c r="I83" s="445" t="n"/>
      <c r="J83" s="445" t="n"/>
    </row>
    <row r="84">
      <c r="F84" s="441" t="inlineStr">
        <is>
          <t>Potencia</t>
        </is>
      </c>
      <c r="G84" s="442">
        <f>G85+G90</f>
        <v/>
      </c>
      <c r="H84" s="442">
        <f>H85+H90</f>
        <v/>
      </c>
      <c r="I84" s="442">
        <f>I85+I90</f>
        <v/>
      </c>
      <c r="J84" s="442">
        <f>J85+J90</f>
        <v/>
      </c>
    </row>
    <row r="85">
      <c r="F85" s="439" t="inlineStr">
        <is>
          <t>Técnicas</t>
        </is>
      </c>
      <c r="G85" s="443">
        <f>SUM(G86:G89)</f>
        <v/>
      </c>
      <c r="H85" s="443">
        <f>SUM(H86:H89)</f>
        <v/>
      </c>
      <c r="I85" s="443">
        <f>SUM(I86:I89)</f>
        <v/>
      </c>
      <c r="J85" s="443">
        <f>SUM(J86:J89)</f>
        <v/>
      </c>
    </row>
    <row r="86">
      <c r="F86" s="444" t="inlineStr">
        <is>
          <t>SEDs MT/BT</t>
        </is>
      </c>
      <c r="G86" s="440">
        <f>$N$7/100</f>
        <v/>
      </c>
      <c r="H86" s="440">
        <f>$N$8/100</f>
        <v/>
      </c>
      <c r="I86" s="440">
        <f>$N$9/100</f>
        <v/>
      </c>
      <c r="J86" s="440">
        <f>$N$10/100</f>
        <v/>
      </c>
    </row>
    <row r="87">
      <c r="F87" s="444" t="inlineStr">
        <is>
          <t>Redes BT-SP</t>
        </is>
      </c>
      <c r="G87" s="440">
        <f>$P$7/100</f>
        <v/>
      </c>
      <c r="H87" s="440">
        <f>$P$8/100</f>
        <v/>
      </c>
      <c r="I87" s="440">
        <f>$P$9/100</f>
        <v/>
      </c>
      <c r="J87" s="440">
        <f>$P$10/100</f>
        <v/>
      </c>
    </row>
    <row r="88">
      <c r="F88" s="444" t="inlineStr">
        <is>
          <t>Acometidas</t>
        </is>
      </c>
      <c r="G88" s="440">
        <f>$R$7/100</f>
        <v/>
      </c>
      <c r="H88" s="440">
        <f>$R$8/100</f>
        <v/>
      </c>
      <c r="I88" s="440">
        <f>$R$9/100</f>
        <v/>
      </c>
      <c r="J88" s="440">
        <f>$R$10/100</f>
        <v/>
      </c>
    </row>
    <row r="89">
      <c r="F89" s="444" t="inlineStr">
        <is>
          <t>Medidores</t>
        </is>
      </c>
      <c r="G89" s="440">
        <f>$T$7/100</f>
        <v/>
      </c>
      <c r="H89" s="440">
        <f>$T$8/100</f>
        <v/>
      </c>
      <c r="I89" s="440">
        <f>$T$9/100</f>
        <v/>
      </c>
      <c r="J89" s="440">
        <f>$T$10/100</f>
        <v/>
      </c>
    </row>
    <row r="90">
      <c r="F90" s="439" t="inlineStr">
        <is>
          <t>No Técnicas</t>
        </is>
      </c>
      <c r="G90" s="443">
        <f>$L$7/100</f>
        <v/>
      </c>
      <c r="H90" s="443">
        <f>$L$8/100</f>
        <v/>
      </c>
      <c r="I90" s="443">
        <f>$L$9/100</f>
        <v/>
      </c>
      <c r="J90" s="443">
        <f>$L$10/100</f>
        <v/>
      </c>
    </row>
    <row customHeight="1" ht="15" r="93">
      <c r="F93" s="562" t="inlineStr">
        <is>
          <t>Rubro de Pérdida</t>
        </is>
      </c>
      <c r="G93" s="562" t="inlineStr">
        <is>
          <t>Referido a ingreso de etapa</t>
        </is>
      </c>
      <c r="H93" s="615" t="n"/>
    </row>
    <row r="94">
      <c r="F94" s="612" t="n"/>
      <c r="G94" s="562" t="inlineStr">
        <is>
          <t>Potencia</t>
        </is>
      </c>
      <c r="H94" s="562" t="inlineStr">
        <is>
          <t>Energía</t>
        </is>
      </c>
    </row>
    <row r="95">
      <c r="F95" s="446" t="inlineStr">
        <is>
          <t>Pérdidas Técnicas MT</t>
        </is>
      </c>
      <c r="G95" s="447">
        <f>$H$6/100</f>
        <v/>
      </c>
      <c r="H95" s="447">
        <f>$G$6/100</f>
        <v/>
      </c>
    </row>
    <row r="96">
      <c r="F96" s="446" t="inlineStr">
        <is>
          <t>Pérdidas Técnicas BT</t>
        </is>
      </c>
      <c r="G96" s="447">
        <f>SUM(G97:G100)</f>
        <v/>
      </c>
      <c r="H96" s="447">
        <f>SUM(H97:H100)</f>
        <v/>
      </c>
    </row>
    <row r="97">
      <c r="F97" s="448" t="inlineStr">
        <is>
          <t>Pérdidas en las SED MT/BT</t>
        </is>
      </c>
      <c r="G97" s="447">
        <f>$N$6/100</f>
        <v/>
      </c>
      <c r="H97" s="447">
        <f>$M$6/100</f>
        <v/>
      </c>
    </row>
    <row r="98">
      <c r="F98" s="448" t="inlineStr">
        <is>
          <t>Pérdidas en las redes de BT</t>
        </is>
      </c>
      <c r="G98" s="447">
        <f>$P$6/100</f>
        <v/>
      </c>
      <c r="H98" s="447">
        <f>$O$6/100</f>
        <v/>
      </c>
    </row>
    <row r="99">
      <c r="F99" s="448" t="inlineStr">
        <is>
          <t>Pérdidas en Acometida</t>
        </is>
      </c>
      <c r="G99" s="447">
        <f>$R$6/100</f>
        <v/>
      </c>
      <c r="H99" s="447">
        <f>$Q$6/100</f>
        <v/>
      </c>
    </row>
    <row r="100">
      <c r="F100" s="448" t="inlineStr">
        <is>
          <t>Pérdidas en Medidores</t>
        </is>
      </c>
      <c r="G100" s="447">
        <f>$T$6/100</f>
        <v/>
      </c>
      <c r="H100" s="447">
        <f>$S$6/100</f>
        <v/>
      </c>
    </row>
    <row hidden="1" r="101">
      <c r="F101" s="335" t="inlineStr">
        <is>
          <t>Total Pérdidas Técnicas</t>
        </is>
      </c>
      <c r="G101" s="447">
        <f>G96+G95</f>
        <v/>
      </c>
      <c r="H101" s="447">
        <f>H96+H95</f>
        <v/>
      </c>
    </row>
    <row r="102">
      <c r="F102" s="336" t="inlineStr">
        <is>
          <t>Pérdidas No Técnicas</t>
        </is>
      </c>
      <c r="G102" s="447">
        <f>$L$6/100</f>
        <v/>
      </c>
      <c r="H102" s="447">
        <f>$K$6/100</f>
        <v/>
      </c>
    </row>
    <row hidden="1" r="103">
      <c r="F103" s="449" t="inlineStr">
        <is>
          <t>Total Pérdidas</t>
        </is>
      </c>
      <c r="G103" s="447">
        <f>G101+G102</f>
        <v/>
      </c>
      <c r="H103" s="447">
        <f>H101+H102</f>
        <v/>
      </c>
    </row>
    <row customHeight="1" ht="6" r="104">
      <c r="F104" s="337" t="n"/>
      <c r="G104" s="338" t="n"/>
      <c r="H104" s="338" t="n"/>
    </row>
    <row hidden="1" r="105">
      <c r="F105" s="450" t="inlineStr">
        <is>
          <t>Pérdidas Medición Centralizada</t>
        </is>
      </c>
      <c r="G105" s="447">
        <f>AC22/100</f>
        <v/>
      </c>
      <c r="H105" s="447">
        <f>AB22/100</f>
        <v/>
      </c>
    </row>
    <row r="106">
      <c r="F106" s="339" t="inlineStr">
        <is>
          <t>(*) Porcentaje referido al ingreso en cada nivel de tensión</t>
        </is>
      </c>
    </row>
    <row r="107">
      <c r="F107" s="339" t="n"/>
    </row>
    <row customHeight="1" ht="30" r="110">
      <c r="H110" s="562" t="inlineStr">
        <is>
          <t>Total
Empresa</t>
        </is>
      </c>
    </row>
    <row r="111">
      <c r="F111" s="566" t="inlineStr">
        <is>
          <t>Media
Tensión</t>
        </is>
      </c>
      <c r="G111" s="451" t="inlineStr">
        <is>
          <t>PEMT</t>
        </is>
      </c>
      <c r="H111" s="645">
        <f>$G$39</f>
        <v/>
      </c>
    </row>
    <row r="112">
      <c r="F112" s="612" t="n"/>
      <c r="G112" s="451" t="inlineStr">
        <is>
          <t>PPMT</t>
        </is>
      </c>
      <c r="H112" s="645">
        <f>$H$39</f>
        <v/>
      </c>
    </row>
    <row r="113">
      <c r="F113" s="567" t="inlineStr">
        <is>
          <t>SED MT/BT</t>
        </is>
      </c>
      <c r="G113" s="451" t="inlineStr">
        <is>
          <t>PEBTSED</t>
        </is>
      </c>
      <c r="H113" s="645">
        <f>$I$39</f>
        <v/>
      </c>
    </row>
    <row r="114">
      <c r="F114" s="612" t="n"/>
      <c r="G114" s="451" t="inlineStr">
        <is>
          <t>PPBTSED</t>
        </is>
      </c>
      <c r="H114" s="645">
        <f>$J$39</f>
        <v/>
      </c>
    </row>
    <row r="115">
      <c r="F115" s="566" t="inlineStr">
        <is>
          <t>Baja
Tensión</t>
        </is>
      </c>
      <c r="G115" s="451" t="inlineStr">
        <is>
          <t>PEBT</t>
        </is>
      </c>
      <c r="H115" s="645">
        <f>$K$39</f>
        <v/>
      </c>
    </row>
    <row r="116">
      <c r="F116" s="612" t="n"/>
      <c r="G116" s="451" t="inlineStr">
        <is>
          <t>PPBT</t>
        </is>
      </c>
      <c r="H116" s="645">
        <f>$L$39</f>
        <v/>
      </c>
    </row>
    <row r="117">
      <c r="F117" s="566" t="inlineStr">
        <is>
          <t>Medición
Centralizada</t>
        </is>
      </c>
      <c r="G117" s="451" t="inlineStr">
        <is>
          <t>PEBTCO</t>
        </is>
      </c>
      <c r="H117" s="645">
        <f>$M$39</f>
        <v/>
      </c>
    </row>
    <row r="118">
      <c r="F118" s="612" t="n"/>
      <c r="G118" s="451" t="inlineStr">
        <is>
          <t>PPBTCO</t>
        </is>
      </c>
      <c r="H118" s="645">
        <f>$N$39</f>
        <v/>
      </c>
    </row>
    <row customHeight="1" ht="15" r="121"/>
    <row customHeight="1" ht="15" r="125"/>
    <row customHeight="1" ht="15" r="127"/>
  </sheetData>
  <mergeCells count="35">
    <mergeCell ref="F113:F114"/>
    <mergeCell ref="F115:F116"/>
    <mergeCell ref="F117:F118"/>
    <mergeCell ref="L37:L38"/>
    <mergeCell ref="M37:M38"/>
    <mergeCell ref="N37:N38"/>
    <mergeCell ref="F93:F94"/>
    <mergeCell ref="G93:H93"/>
    <mergeCell ref="F111:F112"/>
    <mergeCell ref="C35:N35"/>
    <mergeCell ref="C37:C38"/>
    <mergeCell ref="D37:D38"/>
    <mergeCell ref="E37:E38"/>
    <mergeCell ref="F37:F38"/>
    <mergeCell ref="G37:G38"/>
    <mergeCell ref="H37:H38"/>
    <mergeCell ref="I37:I38"/>
    <mergeCell ref="J37:J38"/>
    <mergeCell ref="K37:K38"/>
    <mergeCell ref="AB4:AC4"/>
    <mergeCell ref="C2:AC2"/>
    <mergeCell ref="C4:C5"/>
    <mergeCell ref="D4:D5"/>
    <mergeCell ref="E4:E5"/>
    <mergeCell ref="F4:F5"/>
    <mergeCell ref="G4:H4"/>
    <mergeCell ref="I4:J4"/>
    <mergeCell ref="K4:L4"/>
    <mergeCell ref="M4:N4"/>
    <mergeCell ref="O4:P4"/>
    <mergeCell ref="Q4:R4"/>
    <mergeCell ref="S4:T4"/>
    <mergeCell ref="U4:V4"/>
    <mergeCell ref="W4:X4"/>
    <mergeCell ref="Z4:AA4"/>
  </mergeCells>
  <pageMargins bottom="0.75" footer="0.3" header="0.3" left="0.7" right="0.7" top="0.75"/>
  <pageSetup orientation="portrait"/>
  <headerFooter>
    <oddHeader>&amp;L&amp;"Calibri"&amp;1 &amp;K000000 Información Pública#_x000d_</oddHeader>
    <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B2:AX82"/>
  <sheetViews>
    <sheetView showGridLines="0" topLeftCell="A34" workbookViewId="0" zoomScale="110" zoomScaleNormal="110">
      <selection activeCell="F79" sqref="F79"/>
    </sheetView>
  </sheetViews>
  <sheetFormatPr baseColWidth="10" defaultColWidth="11.42578125" defaultRowHeight="12.75"/>
  <cols>
    <col customWidth="1" max="1" min="1" style="37" width="3.42578125"/>
    <col customWidth="1" max="4" min="2" style="37" width="11.42578125"/>
    <col customWidth="1" max="5" min="5" style="37" width="13.5703125"/>
    <col customWidth="1" max="6" min="6" style="37" width="8.5703125"/>
    <col customWidth="1" max="7" min="7" style="37" width="8.42578125"/>
    <col customWidth="1" max="8" min="8" style="37" width="3.5703125"/>
    <col customWidth="1" max="9" min="9" style="37" width="11.42578125"/>
    <col customWidth="1" max="10" min="10" style="37" width="11.140625"/>
    <col customWidth="1" max="12" min="11" style="37" width="7.5703125"/>
    <col customWidth="1" max="14" min="13" style="37" width="11.42578125"/>
    <col bestFit="1" customWidth="1" max="15" min="15" style="37" width="8.140625"/>
    <col customWidth="1" max="16" min="16" style="37" width="7.5703125"/>
    <col bestFit="1" customWidth="1" max="17" min="17" style="37" width="8.5703125"/>
    <col customWidth="1" max="18" min="18" style="37" width="7.42578125"/>
    <col customWidth="1" max="19" min="19" style="37" width="6.5703125"/>
    <col bestFit="1" customWidth="1" max="20" min="20" style="37" width="10.5703125"/>
    <col bestFit="1" customWidth="1" max="21" min="21" style="37" width="7.42578125"/>
    <col customWidth="1" max="22" min="22" style="37" width="5.5703125"/>
    <col customWidth="1" max="23" min="23" style="37" width="4.85546875"/>
    <col customWidth="1" max="24" min="24" style="37" width="57.42578125"/>
    <col customWidth="1" max="25" min="25" style="37" width="10.5703125"/>
    <col customWidth="1" max="26" min="26" style="110" width="2.5703125"/>
    <col customWidth="1" max="27" min="27" style="37" width="11.5703125"/>
    <col customWidth="1" max="30" min="28" style="37" width="11.42578125"/>
    <col customWidth="1" max="31" min="31" style="37" width="13.5703125"/>
    <col customWidth="1" max="32" min="32" style="37" width="11.42578125"/>
    <col customWidth="1" max="33" min="33" style="37" width="8.42578125"/>
    <col customWidth="1" max="34" min="34" style="37" width="3.5703125"/>
    <col customWidth="1" max="35" min="35" style="37" width="11.42578125"/>
    <col customWidth="1" max="36" min="36" style="37" width="11.140625"/>
    <col customWidth="1" max="38" min="37" style="37" width="7.5703125"/>
    <col customWidth="1" max="40" min="39" style="37" width="11.42578125"/>
    <col customWidth="1" max="41" min="41" style="37" width="12.42578125"/>
    <col customWidth="1" max="42" min="42" style="37" width="9"/>
    <col customWidth="1" max="43" min="43" style="37" width="15.5703125"/>
    <col customWidth="1" max="44" min="44" style="37" width="6.140625"/>
    <col customWidth="1" max="45" min="45" style="37" width="6.5703125"/>
    <col customWidth="1" max="46" min="46" style="37" width="13.42578125"/>
    <col customWidth="1" max="47" min="47" style="37" width="9.85546875"/>
    <col customWidth="1" max="48" min="48" style="37" width="5.5703125"/>
    <col customWidth="1" max="49" min="49" style="37" width="4.85546875"/>
    <col customWidth="1" max="50" min="50" style="37" width="45.5703125"/>
    <col customWidth="1" max="256" min="51" style="37" width="11.42578125"/>
    <col customWidth="1" max="257" min="257" style="37" width="3.42578125"/>
    <col customWidth="1" max="260" min="258" style="37" width="11.42578125"/>
    <col customWidth="1" max="261" min="261" style="37" width="13.5703125"/>
    <col customWidth="1" max="262" min="262" style="37" width="8.5703125"/>
    <col customWidth="1" max="263" min="263" style="37" width="8.42578125"/>
    <col customWidth="1" max="264" min="264" style="37" width="3.5703125"/>
    <col customWidth="1" max="265" min="265" style="37" width="11.42578125"/>
    <col customWidth="1" max="266" min="266" style="37" width="11.140625"/>
    <col customWidth="1" max="268" min="267" style="37" width="7.5703125"/>
    <col customWidth="1" max="270" min="269" style="37" width="11.42578125"/>
    <col customWidth="1" max="271" min="271" style="37" width="6.85546875"/>
    <col customWidth="1" max="272" min="272" style="37" width="5.5703125"/>
    <col customWidth="1" max="273" min="273" style="37" width="4.85546875"/>
    <col customWidth="1" max="274" min="274" style="37" width="3.5703125"/>
    <col customWidth="1" max="275" min="275" style="37" width="6.5703125"/>
    <col customWidth="1" max="276" min="276" style="37" width="6.85546875"/>
    <col customWidth="1" max="277" min="277" style="37" width="9.85546875"/>
    <col customWidth="1" max="278" min="278" style="37" width="5.5703125"/>
    <col customWidth="1" max="279" min="279" style="37" width="4.85546875"/>
    <col customWidth="1" max="280" min="280" style="37" width="13.42578125"/>
    <col customWidth="1" max="281" min="281" style="37" width="3.5703125"/>
    <col customWidth="1" max="512" min="282" style="37" width="11.42578125"/>
    <col customWidth="1" max="513" min="513" style="37" width="3.42578125"/>
    <col customWidth="1" max="516" min="514" style="37" width="11.42578125"/>
    <col customWidth="1" max="517" min="517" style="37" width="13.5703125"/>
    <col customWidth="1" max="518" min="518" style="37" width="8.5703125"/>
    <col customWidth="1" max="519" min="519" style="37" width="8.42578125"/>
    <col customWidth="1" max="520" min="520" style="37" width="3.5703125"/>
    <col customWidth="1" max="521" min="521" style="37" width="11.42578125"/>
    <col customWidth="1" max="522" min="522" style="37" width="11.140625"/>
    <col customWidth="1" max="524" min="523" style="37" width="7.5703125"/>
    <col customWidth="1" max="526" min="525" style="37" width="11.42578125"/>
    <col customWidth="1" max="527" min="527" style="37" width="6.85546875"/>
    <col customWidth="1" max="528" min="528" style="37" width="5.5703125"/>
    <col customWidth="1" max="529" min="529" style="37" width="4.85546875"/>
    <col customWidth="1" max="530" min="530" style="37" width="3.5703125"/>
    <col customWidth="1" max="531" min="531" style="37" width="6.5703125"/>
    <col customWidth="1" max="532" min="532" style="37" width="6.85546875"/>
    <col customWidth="1" max="533" min="533" style="37" width="9.85546875"/>
    <col customWidth="1" max="534" min="534" style="37" width="5.5703125"/>
    <col customWidth="1" max="535" min="535" style="37" width="4.85546875"/>
    <col customWidth="1" max="536" min="536" style="37" width="13.42578125"/>
    <col customWidth="1" max="537" min="537" style="37" width="3.5703125"/>
    <col customWidth="1" max="768" min="538" style="37" width="11.42578125"/>
    <col customWidth="1" max="769" min="769" style="37" width="3.42578125"/>
    <col customWidth="1" max="772" min="770" style="37" width="11.42578125"/>
    <col customWidth="1" max="773" min="773" style="37" width="13.5703125"/>
    <col customWidth="1" max="774" min="774" style="37" width="8.5703125"/>
    <col customWidth="1" max="775" min="775" style="37" width="8.42578125"/>
    <col customWidth="1" max="776" min="776" style="37" width="3.5703125"/>
    <col customWidth="1" max="777" min="777" style="37" width="11.42578125"/>
    <col customWidth="1" max="778" min="778" style="37" width="11.140625"/>
    <col customWidth="1" max="780" min="779" style="37" width="7.5703125"/>
    <col customWidth="1" max="782" min="781" style="37" width="11.42578125"/>
    <col customWidth="1" max="783" min="783" style="37" width="6.85546875"/>
    <col customWidth="1" max="784" min="784" style="37" width="5.5703125"/>
    <col customWidth="1" max="785" min="785" style="37" width="4.85546875"/>
    <col customWidth="1" max="786" min="786" style="37" width="3.5703125"/>
    <col customWidth="1" max="787" min="787" style="37" width="6.5703125"/>
    <col customWidth="1" max="788" min="788" style="37" width="6.85546875"/>
    <col customWidth="1" max="789" min="789" style="37" width="9.85546875"/>
    <col customWidth="1" max="790" min="790" style="37" width="5.5703125"/>
    <col customWidth="1" max="791" min="791" style="37" width="4.85546875"/>
    <col customWidth="1" max="792" min="792" style="37" width="13.42578125"/>
    <col customWidth="1" max="793" min="793" style="37" width="3.5703125"/>
    <col customWidth="1" max="1024" min="794" style="37" width="11.42578125"/>
    <col customWidth="1" max="1025" min="1025" style="37" width="3.42578125"/>
    <col customWidth="1" max="1028" min="1026" style="37" width="11.42578125"/>
    <col customWidth="1" max="1029" min="1029" style="37" width="13.5703125"/>
    <col customWidth="1" max="1030" min="1030" style="37" width="8.5703125"/>
    <col customWidth="1" max="1031" min="1031" style="37" width="8.42578125"/>
    <col customWidth="1" max="1032" min="1032" style="37" width="3.5703125"/>
    <col customWidth="1" max="1033" min="1033" style="37" width="11.42578125"/>
    <col customWidth="1" max="1034" min="1034" style="37" width="11.140625"/>
    <col customWidth="1" max="1036" min="1035" style="37" width="7.5703125"/>
    <col customWidth="1" max="1038" min="1037" style="37" width="11.42578125"/>
    <col customWidth="1" max="1039" min="1039" style="37" width="6.85546875"/>
    <col customWidth="1" max="1040" min="1040" style="37" width="5.5703125"/>
    <col customWidth="1" max="1041" min="1041" style="37" width="4.85546875"/>
    <col customWidth="1" max="1042" min="1042" style="37" width="3.5703125"/>
    <col customWidth="1" max="1043" min="1043" style="37" width="6.5703125"/>
    <col customWidth="1" max="1044" min="1044" style="37" width="6.85546875"/>
    <col customWidth="1" max="1045" min="1045" style="37" width="9.85546875"/>
    <col customWidth="1" max="1046" min="1046" style="37" width="5.5703125"/>
    <col customWidth="1" max="1047" min="1047" style="37" width="4.85546875"/>
    <col customWidth="1" max="1048" min="1048" style="37" width="13.42578125"/>
    <col customWidth="1" max="1049" min="1049" style="37" width="3.5703125"/>
    <col customWidth="1" max="1280" min="1050" style="37" width="11.42578125"/>
    <col customWidth="1" max="1281" min="1281" style="37" width="3.42578125"/>
    <col customWidth="1" max="1284" min="1282" style="37" width="11.42578125"/>
    <col customWidth="1" max="1285" min="1285" style="37" width="13.5703125"/>
    <col customWidth="1" max="1286" min="1286" style="37" width="8.5703125"/>
    <col customWidth="1" max="1287" min="1287" style="37" width="8.42578125"/>
    <col customWidth="1" max="1288" min="1288" style="37" width="3.5703125"/>
    <col customWidth="1" max="1289" min="1289" style="37" width="11.42578125"/>
    <col customWidth="1" max="1290" min="1290" style="37" width="11.140625"/>
    <col customWidth="1" max="1292" min="1291" style="37" width="7.5703125"/>
    <col customWidth="1" max="1294" min="1293" style="37" width="11.42578125"/>
    <col customWidth="1" max="1295" min="1295" style="37" width="6.85546875"/>
    <col customWidth="1" max="1296" min="1296" style="37" width="5.5703125"/>
    <col customWidth="1" max="1297" min="1297" style="37" width="4.85546875"/>
    <col customWidth="1" max="1298" min="1298" style="37" width="3.5703125"/>
    <col customWidth="1" max="1299" min="1299" style="37" width="6.5703125"/>
    <col customWidth="1" max="1300" min="1300" style="37" width="6.85546875"/>
    <col customWidth="1" max="1301" min="1301" style="37" width="9.85546875"/>
    <col customWidth="1" max="1302" min="1302" style="37" width="5.5703125"/>
    <col customWidth="1" max="1303" min="1303" style="37" width="4.85546875"/>
    <col customWidth="1" max="1304" min="1304" style="37" width="13.42578125"/>
    <col customWidth="1" max="1305" min="1305" style="37" width="3.5703125"/>
    <col customWidth="1" max="1536" min="1306" style="37" width="11.42578125"/>
    <col customWidth="1" max="1537" min="1537" style="37" width="3.42578125"/>
    <col customWidth="1" max="1540" min="1538" style="37" width="11.42578125"/>
    <col customWidth="1" max="1541" min="1541" style="37" width="13.5703125"/>
    <col customWidth="1" max="1542" min="1542" style="37" width="8.5703125"/>
    <col customWidth="1" max="1543" min="1543" style="37" width="8.42578125"/>
    <col customWidth="1" max="1544" min="1544" style="37" width="3.5703125"/>
    <col customWidth="1" max="1545" min="1545" style="37" width="11.42578125"/>
    <col customWidth="1" max="1546" min="1546" style="37" width="11.140625"/>
    <col customWidth="1" max="1548" min="1547" style="37" width="7.5703125"/>
    <col customWidth="1" max="1550" min="1549" style="37" width="11.42578125"/>
    <col customWidth="1" max="1551" min="1551" style="37" width="6.85546875"/>
    <col customWidth="1" max="1552" min="1552" style="37" width="5.5703125"/>
    <col customWidth="1" max="1553" min="1553" style="37" width="4.85546875"/>
    <col customWidth="1" max="1554" min="1554" style="37" width="3.5703125"/>
    <col customWidth="1" max="1555" min="1555" style="37" width="6.5703125"/>
    <col customWidth="1" max="1556" min="1556" style="37" width="6.85546875"/>
    <col customWidth="1" max="1557" min="1557" style="37" width="9.85546875"/>
    <col customWidth="1" max="1558" min="1558" style="37" width="5.5703125"/>
    <col customWidth="1" max="1559" min="1559" style="37" width="4.85546875"/>
    <col customWidth="1" max="1560" min="1560" style="37" width="13.42578125"/>
    <col customWidth="1" max="1561" min="1561" style="37" width="3.5703125"/>
    <col customWidth="1" max="1792" min="1562" style="37" width="11.42578125"/>
    <col customWidth="1" max="1793" min="1793" style="37" width="3.42578125"/>
    <col customWidth="1" max="1796" min="1794" style="37" width="11.42578125"/>
    <col customWidth="1" max="1797" min="1797" style="37" width="13.5703125"/>
    <col customWidth="1" max="1798" min="1798" style="37" width="8.5703125"/>
    <col customWidth="1" max="1799" min="1799" style="37" width="8.42578125"/>
    <col customWidth="1" max="1800" min="1800" style="37" width="3.5703125"/>
    <col customWidth="1" max="1801" min="1801" style="37" width="11.42578125"/>
    <col customWidth="1" max="1802" min="1802" style="37" width="11.140625"/>
    <col customWidth="1" max="1804" min="1803" style="37" width="7.5703125"/>
    <col customWidth="1" max="1806" min="1805" style="37" width="11.42578125"/>
    <col customWidth="1" max="1807" min="1807" style="37" width="6.85546875"/>
    <col customWidth="1" max="1808" min="1808" style="37" width="5.5703125"/>
    <col customWidth="1" max="1809" min="1809" style="37" width="4.85546875"/>
    <col customWidth="1" max="1810" min="1810" style="37" width="3.5703125"/>
    <col customWidth="1" max="1811" min="1811" style="37" width="6.5703125"/>
    <col customWidth="1" max="1812" min="1812" style="37" width="6.85546875"/>
    <col customWidth="1" max="1813" min="1813" style="37" width="9.85546875"/>
    <col customWidth="1" max="1814" min="1814" style="37" width="5.5703125"/>
    <col customWidth="1" max="1815" min="1815" style="37" width="4.85546875"/>
    <col customWidth="1" max="1816" min="1816" style="37" width="13.42578125"/>
    <col customWidth="1" max="1817" min="1817" style="37" width="3.5703125"/>
    <col customWidth="1" max="2048" min="1818" style="37" width="11.42578125"/>
    <col customWidth="1" max="2049" min="2049" style="37" width="3.42578125"/>
    <col customWidth="1" max="2052" min="2050" style="37" width="11.42578125"/>
    <col customWidth="1" max="2053" min="2053" style="37" width="13.5703125"/>
    <col customWidth="1" max="2054" min="2054" style="37" width="8.5703125"/>
    <col customWidth="1" max="2055" min="2055" style="37" width="8.42578125"/>
    <col customWidth="1" max="2056" min="2056" style="37" width="3.5703125"/>
    <col customWidth="1" max="2057" min="2057" style="37" width="11.42578125"/>
    <col customWidth="1" max="2058" min="2058" style="37" width="11.140625"/>
    <col customWidth="1" max="2060" min="2059" style="37" width="7.5703125"/>
    <col customWidth="1" max="2062" min="2061" style="37" width="11.42578125"/>
    <col customWidth="1" max="2063" min="2063" style="37" width="6.85546875"/>
    <col customWidth="1" max="2064" min="2064" style="37" width="5.5703125"/>
    <col customWidth="1" max="2065" min="2065" style="37" width="4.85546875"/>
    <col customWidth="1" max="2066" min="2066" style="37" width="3.5703125"/>
    <col customWidth="1" max="2067" min="2067" style="37" width="6.5703125"/>
    <col customWidth="1" max="2068" min="2068" style="37" width="6.85546875"/>
    <col customWidth="1" max="2069" min="2069" style="37" width="9.85546875"/>
    <col customWidth="1" max="2070" min="2070" style="37" width="5.5703125"/>
    <col customWidth="1" max="2071" min="2071" style="37" width="4.85546875"/>
    <col customWidth="1" max="2072" min="2072" style="37" width="13.42578125"/>
    <col customWidth="1" max="2073" min="2073" style="37" width="3.5703125"/>
    <col customWidth="1" max="2304" min="2074" style="37" width="11.42578125"/>
    <col customWidth="1" max="2305" min="2305" style="37" width="3.42578125"/>
    <col customWidth="1" max="2308" min="2306" style="37" width="11.42578125"/>
    <col customWidth="1" max="2309" min="2309" style="37" width="13.5703125"/>
    <col customWidth="1" max="2310" min="2310" style="37" width="8.5703125"/>
    <col customWidth="1" max="2311" min="2311" style="37" width="8.42578125"/>
    <col customWidth="1" max="2312" min="2312" style="37" width="3.5703125"/>
    <col customWidth="1" max="2313" min="2313" style="37" width="11.42578125"/>
    <col customWidth="1" max="2314" min="2314" style="37" width="11.140625"/>
    <col customWidth="1" max="2316" min="2315" style="37" width="7.5703125"/>
    <col customWidth="1" max="2318" min="2317" style="37" width="11.42578125"/>
    <col customWidth="1" max="2319" min="2319" style="37" width="6.85546875"/>
    <col customWidth="1" max="2320" min="2320" style="37" width="5.5703125"/>
    <col customWidth="1" max="2321" min="2321" style="37" width="4.85546875"/>
    <col customWidth="1" max="2322" min="2322" style="37" width="3.5703125"/>
    <col customWidth="1" max="2323" min="2323" style="37" width="6.5703125"/>
    <col customWidth="1" max="2324" min="2324" style="37" width="6.85546875"/>
    <col customWidth="1" max="2325" min="2325" style="37" width="9.85546875"/>
    <col customWidth="1" max="2326" min="2326" style="37" width="5.5703125"/>
    <col customWidth="1" max="2327" min="2327" style="37" width="4.85546875"/>
    <col customWidth="1" max="2328" min="2328" style="37" width="13.42578125"/>
    <col customWidth="1" max="2329" min="2329" style="37" width="3.5703125"/>
    <col customWidth="1" max="2560" min="2330" style="37" width="11.42578125"/>
    <col customWidth="1" max="2561" min="2561" style="37" width="3.42578125"/>
    <col customWidth="1" max="2564" min="2562" style="37" width="11.42578125"/>
    <col customWidth="1" max="2565" min="2565" style="37" width="13.5703125"/>
    <col customWidth="1" max="2566" min="2566" style="37" width="8.5703125"/>
    <col customWidth="1" max="2567" min="2567" style="37" width="8.42578125"/>
    <col customWidth="1" max="2568" min="2568" style="37" width="3.5703125"/>
    <col customWidth="1" max="2569" min="2569" style="37" width="11.42578125"/>
    <col customWidth="1" max="2570" min="2570" style="37" width="11.140625"/>
    <col customWidth="1" max="2572" min="2571" style="37" width="7.5703125"/>
    <col customWidth="1" max="2574" min="2573" style="37" width="11.42578125"/>
    <col customWidth="1" max="2575" min="2575" style="37" width="6.85546875"/>
    <col customWidth="1" max="2576" min="2576" style="37" width="5.5703125"/>
    <col customWidth="1" max="2577" min="2577" style="37" width="4.85546875"/>
    <col customWidth="1" max="2578" min="2578" style="37" width="3.5703125"/>
    <col customWidth="1" max="2579" min="2579" style="37" width="6.5703125"/>
    <col customWidth="1" max="2580" min="2580" style="37" width="6.85546875"/>
    <col customWidth="1" max="2581" min="2581" style="37" width="9.85546875"/>
    <col customWidth="1" max="2582" min="2582" style="37" width="5.5703125"/>
    <col customWidth="1" max="2583" min="2583" style="37" width="4.85546875"/>
    <col customWidth="1" max="2584" min="2584" style="37" width="13.42578125"/>
    <col customWidth="1" max="2585" min="2585" style="37" width="3.5703125"/>
    <col customWidth="1" max="2816" min="2586" style="37" width="11.42578125"/>
    <col customWidth="1" max="2817" min="2817" style="37" width="3.42578125"/>
    <col customWidth="1" max="2820" min="2818" style="37" width="11.42578125"/>
    <col customWidth="1" max="2821" min="2821" style="37" width="13.5703125"/>
    <col customWidth="1" max="2822" min="2822" style="37" width="8.5703125"/>
    <col customWidth="1" max="2823" min="2823" style="37" width="8.42578125"/>
    <col customWidth="1" max="2824" min="2824" style="37" width="3.5703125"/>
    <col customWidth="1" max="2825" min="2825" style="37" width="11.42578125"/>
    <col customWidth="1" max="2826" min="2826" style="37" width="11.140625"/>
    <col customWidth="1" max="2828" min="2827" style="37" width="7.5703125"/>
    <col customWidth="1" max="2830" min="2829" style="37" width="11.42578125"/>
    <col customWidth="1" max="2831" min="2831" style="37" width="6.85546875"/>
    <col customWidth="1" max="2832" min="2832" style="37" width="5.5703125"/>
    <col customWidth="1" max="2833" min="2833" style="37" width="4.85546875"/>
    <col customWidth="1" max="2834" min="2834" style="37" width="3.5703125"/>
    <col customWidth="1" max="2835" min="2835" style="37" width="6.5703125"/>
    <col customWidth="1" max="2836" min="2836" style="37" width="6.85546875"/>
    <col customWidth="1" max="2837" min="2837" style="37" width="9.85546875"/>
    <col customWidth="1" max="2838" min="2838" style="37" width="5.5703125"/>
    <col customWidth="1" max="2839" min="2839" style="37" width="4.85546875"/>
    <col customWidth="1" max="2840" min="2840" style="37" width="13.42578125"/>
    <col customWidth="1" max="2841" min="2841" style="37" width="3.5703125"/>
    <col customWidth="1" max="3072" min="2842" style="37" width="11.42578125"/>
    <col customWidth="1" max="3073" min="3073" style="37" width="3.42578125"/>
    <col customWidth="1" max="3076" min="3074" style="37" width="11.42578125"/>
    <col customWidth="1" max="3077" min="3077" style="37" width="13.5703125"/>
    <col customWidth="1" max="3078" min="3078" style="37" width="8.5703125"/>
    <col customWidth="1" max="3079" min="3079" style="37" width="8.42578125"/>
    <col customWidth="1" max="3080" min="3080" style="37" width="3.5703125"/>
    <col customWidth="1" max="3081" min="3081" style="37" width="11.42578125"/>
    <col customWidth="1" max="3082" min="3082" style="37" width="11.140625"/>
    <col customWidth="1" max="3084" min="3083" style="37" width="7.5703125"/>
    <col customWidth="1" max="3086" min="3085" style="37" width="11.42578125"/>
    <col customWidth="1" max="3087" min="3087" style="37" width="6.85546875"/>
    <col customWidth="1" max="3088" min="3088" style="37" width="5.5703125"/>
    <col customWidth="1" max="3089" min="3089" style="37" width="4.85546875"/>
    <col customWidth="1" max="3090" min="3090" style="37" width="3.5703125"/>
    <col customWidth="1" max="3091" min="3091" style="37" width="6.5703125"/>
    <col customWidth="1" max="3092" min="3092" style="37" width="6.85546875"/>
    <col customWidth="1" max="3093" min="3093" style="37" width="9.85546875"/>
    <col customWidth="1" max="3094" min="3094" style="37" width="5.5703125"/>
    <col customWidth="1" max="3095" min="3095" style="37" width="4.85546875"/>
    <col customWidth="1" max="3096" min="3096" style="37" width="13.42578125"/>
    <col customWidth="1" max="3097" min="3097" style="37" width="3.5703125"/>
    <col customWidth="1" max="3328" min="3098" style="37" width="11.42578125"/>
    <col customWidth="1" max="3329" min="3329" style="37" width="3.42578125"/>
    <col customWidth="1" max="3332" min="3330" style="37" width="11.42578125"/>
    <col customWidth="1" max="3333" min="3333" style="37" width="13.5703125"/>
    <col customWidth="1" max="3334" min="3334" style="37" width="8.5703125"/>
    <col customWidth="1" max="3335" min="3335" style="37" width="8.42578125"/>
    <col customWidth="1" max="3336" min="3336" style="37" width="3.5703125"/>
    <col customWidth="1" max="3337" min="3337" style="37" width="11.42578125"/>
    <col customWidth="1" max="3338" min="3338" style="37" width="11.140625"/>
    <col customWidth="1" max="3340" min="3339" style="37" width="7.5703125"/>
    <col customWidth="1" max="3342" min="3341" style="37" width="11.42578125"/>
    <col customWidth="1" max="3343" min="3343" style="37" width="6.85546875"/>
    <col customWidth="1" max="3344" min="3344" style="37" width="5.5703125"/>
    <col customWidth="1" max="3345" min="3345" style="37" width="4.85546875"/>
    <col customWidth="1" max="3346" min="3346" style="37" width="3.5703125"/>
    <col customWidth="1" max="3347" min="3347" style="37" width="6.5703125"/>
    <col customWidth="1" max="3348" min="3348" style="37" width="6.85546875"/>
    <col customWidth="1" max="3349" min="3349" style="37" width="9.85546875"/>
    <col customWidth="1" max="3350" min="3350" style="37" width="5.5703125"/>
    <col customWidth="1" max="3351" min="3351" style="37" width="4.85546875"/>
    <col customWidth="1" max="3352" min="3352" style="37" width="13.42578125"/>
    <col customWidth="1" max="3353" min="3353" style="37" width="3.5703125"/>
    <col customWidth="1" max="3584" min="3354" style="37" width="11.42578125"/>
    <col customWidth="1" max="3585" min="3585" style="37" width="3.42578125"/>
    <col customWidth="1" max="3588" min="3586" style="37" width="11.42578125"/>
    <col customWidth="1" max="3589" min="3589" style="37" width="13.5703125"/>
    <col customWidth="1" max="3590" min="3590" style="37" width="8.5703125"/>
    <col customWidth="1" max="3591" min="3591" style="37" width="8.42578125"/>
    <col customWidth="1" max="3592" min="3592" style="37" width="3.5703125"/>
    <col customWidth="1" max="3593" min="3593" style="37" width="11.42578125"/>
    <col customWidth="1" max="3594" min="3594" style="37" width="11.140625"/>
    <col customWidth="1" max="3596" min="3595" style="37" width="7.5703125"/>
    <col customWidth="1" max="3598" min="3597" style="37" width="11.42578125"/>
    <col customWidth="1" max="3599" min="3599" style="37" width="6.85546875"/>
    <col customWidth="1" max="3600" min="3600" style="37" width="5.5703125"/>
    <col customWidth="1" max="3601" min="3601" style="37" width="4.85546875"/>
    <col customWidth="1" max="3602" min="3602" style="37" width="3.5703125"/>
    <col customWidth="1" max="3603" min="3603" style="37" width="6.5703125"/>
    <col customWidth="1" max="3604" min="3604" style="37" width="6.85546875"/>
    <col customWidth="1" max="3605" min="3605" style="37" width="9.85546875"/>
    <col customWidth="1" max="3606" min="3606" style="37" width="5.5703125"/>
    <col customWidth="1" max="3607" min="3607" style="37" width="4.85546875"/>
    <col customWidth="1" max="3608" min="3608" style="37" width="13.42578125"/>
    <col customWidth="1" max="3609" min="3609" style="37" width="3.5703125"/>
    <col customWidth="1" max="3840" min="3610" style="37" width="11.42578125"/>
    <col customWidth="1" max="3841" min="3841" style="37" width="3.42578125"/>
    <col customWidth="1" max="3844" min="3842" style="37" width="11.42578125"/>
    <col customWidth="1" max="3845" min="3845" style="37" width="13.5703125"/>
    <col customWidth="1" max="3846" min="3846" style="37" width="8.5703125"/>
    <col customWidth="1" max="3847" min="3847" style="37" width="8.42578125"/>
    <col customWidth="1" max="3848" min="3848" style="37" width="3.5703125"/>
    <col customWidth="1" max="3849" min="3849" style="37" width="11.42578125"/>
    <col customWidth="1" max="3850" min="3850" style="37" width="11.140625"/>
    <col customWidth="1" max="3852" min="3851" style="37" width="7.5703125"/>
    <col customWidth="1" max="3854" min="3853" style="37" width="11.42578125"/>
    <col customWidth="1" max="3855" min="3855" style="37" width="6.85546875"/>
    <col customWidth="1" max="3856" min="3856" style="37" width="5.5703125"/>
    <col customWidth="1" max="3857" min="3857" style="37" width="4.85546875"/>
    <col customWidth="1" max="3858" min="3858" style="37" width="3.5703125"/>
    <col customWidth="1" max="3859" min="3859" style="37" width="6.5703125"/>
    <col customWidth="1" max="3860" min="3860" style="37" width="6.85546875"/>
    <col customWidth="1" max="3861" min="3861" style="37" width="9.85546875"/>
    <col customWidth="1" max="3862" min="3862" style="37" width="5.5703125"/>
    <col customWidth="1" max="3863" min="3863" style="37" width="4.85546875"/>
    <col customWidth="1" max="3864" min="3864" style="37" width="13.42578125"/>
    <col customWidth="1" max="3865" min="3865" style="37" width="3.5703125"/>
    <col customWidth="1" max="4096" min="3866" style="37" width="11.42578125"/>
    <col customWidth="1" max="4097" min="4097" style="37" width="3.42578125"/>
    <col customWidth="1" max="4100" min="4098" style="37" width="11.42578125"/>
    <col customWidth="1" max="4101" min="4101" style="37" width="13.5703125"/>
    <col customWidth="1" max="4102" min="4102" style="37" width="8.5703125"/>
    <col customWidth="1" max="4103" min="4103" style="37" width="8.42578125"/>
    <col customWidth="1" max="4104" min="4104" style="37" width="3.5703125"/>
    <col customWidth="1" max="4105" min="4105" style="37" width="11.42578125"/>
    <col customWidth="1" max="4106" min="4106" style="37" width="11.140625"/>
    <col customWidth="1" max="4108" min="4107" style="37" width="7.5703125"/>
    <col customWidth="1" max="4110" min="4109" style="37" width="11.42578125"/>
    <col customWidth="1" max="4111" min="4111" style="37" width="6.85546875"/>
    <col customWidth="1" max="4112" min="4112" style="37" width="5.5703125"/>
    <col customWidth="1" max="4113" min="4113" style="37" width="4.85546875"/>
    <col customWidth="1" max="4114" min="4114" style="37" width="3.5703125"/>
    <col customWidth="1" max="4115" min="4115" style="37" width="6.5703125"/>
    <col customWidth="1" max="4116" min="4116" style="37" width="6.85546875"/>
    <col customWidth="1" max="4117" min="4117" style="37" width="9.85546875"/>
    <col customWidth="1" max="4118" min="4118" style="37" width="5.5703125"/>
    <col customWidth="1" max="4119" min="4119" style="37" width="4.85546875"/>
    <col customWidth="1" max="4120" min="4120" style="37" width="13.42578125"/>
    <col customWidth="1" max="4121" min="4121" style="37" width="3.5703125"/>
    <col customWidth="1" max="4352" min="4122" style="37" width="11.42578125"/>
    <col customWidth="1" max="4353" min="4353" style="37" width="3.42578125"/>
    <col customWidth="1" max="4356" min="4354" style="37" width="11.42578125"/>
    <col customWidth="1" max="4357" min="4357" style="37" width="13.5703125"/>
    <col customWidth="1" max="4358" min="4358" style="37" width="8.5703125"/>
    <col customWidth="1" max="4359" min="4359" style="37" width="8.42578125"/>
    <col customWidth="1" max="4360" min="4360" style="37" width="3.5703125"/>
    <col customWidth="1" max="4361" min="4361" style="37" width="11.42578125"/>
    <col customWidth="1" max="4362" min="4362" style="37" width="11.140625"/>
    <col customWidth="1" max="4364" min="4363" style="37" width="7.5703125"/>
    <col customWidth="1" max="4366" min="4365" style="37" width="11.42578125"/>
    <col customWidth="1" max="4367" min="4367" style="37" width="6.85546875"/>
    <col customWidth="1" max="4368" min="4368" style="37" width="5.5703125"/>
    <col customWidth="1" max="4369" min="4369" style="37" width="4.85546875"/>
    <col customWidth="1" max="4370" min="4370" style="37" width="3.5703125"/>
    <col customWidth="1" max="4371" min="4371" style="37" width="6.5703125"/>
    <col customWidth="1" max="4372" min="4372" style="37" width="6.85546875"/>
    <col customWidth="1" max="4373" min="4373" style="37" width="9.85546875"/>
    <col customWidth="1" max="4374" min="4374" style="37" width="5.5703125"/>
    <col customWidth="1" max="4375" min="4375" style="37" width="4.85546875"/>
    <col customWidth="1" max="4376" min="4376" style="37" width="13.42578125"/>
    <col customWidth="1" max="4377" min="4377" style="37" width="3.5703125"/>
    <col customWidth="1" max="4608" min="4378" style="37" width="11.42578125"/>
    <col customWidth="1" max="4609" min="4609" style="37" width="3.42578125"/>
    <col customWidth="1" max="4612" min="4610" style="37" width="11.42578125"/>
    <col customWidth="1" max="4613" min="4613" style="37" width="13.5703125"/>
    <col customWidth="1" max="4614" min="4614" style="37" width="8.5703125"/>
    <col customWidth="1" max="4615" min="4615" style="37" width="8.42578125"/>
    <col customWidth="1" max="4616" min="4616" style="37" width="3.5703125"/>
    <col customWidth="1" max="4617" min="4617" style="37" width="11.42578125"/>
    <col customWidth="1" max="4618" min="4618" style="37" width="11.140625"/>
    <col customWidth="1" max="4620" min="4619" style="37" width="7.5703125"/>
    <col customWidth="1" max="4622" min="4621" style="37" width="11.42578125"/>
    <col customWidth="1" max="4623" min="4623" style="37" width="6.85546875"/>
    <col customWidth="1" max="4624" min="4624" style="37" width="5.5703125"/>
    <col customWidth="1" max="4625" min="4625" style="37" width="4.85546875"/>
    <col customWidth="1" max="4626" min="4626" style="37" width="3.5703125"/>
    <col customWidth="1" max="4627" min="4627" style="37" width="6.5703125"/>
    <col customWidth="1" max="4628" min="4628" style="37" width="6.85546875"/>
    <col customWidth="1" max="4629" min="4629" style="37" width="9.85546875"/>
    <col customWidth="1" max="4630" min="4630" style="37" width="5.5703125"/>
    <col customWidth="1" max="4631" min="4631" style="37" width="4.85546875"/>
    <col customWidth="1" max="4632" min="4632" style="37" width="13.42578125"/>
    <col customWidth="1" max="4633" min="4633" style="37" width="3.5703125"/>
    <col customWidth="1" max="4864" min="4634" style="37" width="11.42578125"/>
    <col customWidth="1" max="4865" min="4865" style="37" width="3.42578125"/>
    <col customWidth="1" max="4868" min="4866" style="37" width="11.42578125"/>
    <col customWidth="1" max="4869" min="4869" style="37" width="13.5703125"/>
    <col customWidth="1" max="4870" min="4870" style="37" width="8.5703125"/>
    <col customWidth="1" max="4871" min="4871" style="37" width="8.42578125"/>
    <col customWidth="1" max="4872" min="4872" style="37" width="3.5703125"/>
    <col customWidth="1" max="4873" min="4873" style="37" width="11.42578125"/>
    <col customWidth="1" max="4874" min="4874" style="37" width="11.140625"/>
    <col customWidth="1" max="4876" min="4875" style="37" width="7.5703125"/>
    <col customWidth="1" max="4878" min="4877" style="37" width="11.42578125"/>
    <col customWidth="1" max="4879" min="4879" style="37" width="6.85546875"/>
    <col customWidth="1" max="4880" min="4880" style="37" width="5.5703125"/>
    <col customWidth="1" max="4881" min="4881" style="37" width="4.85546875"/>
    <col customWidth="1" max="4882" min="4882" style="37" width="3.5703125"/>
    <col customWidth="1" max="4883" min="4883" style="37" width="6.5703125"/>
    <col customWidth="1" max="4884" min="4884" style="37" width="6.85546875"/>
    <col customWidth="1" max="4885" min="4885" style="37" width="9.85546875"/>
    <col customWidth="1" max="4886" min="4886" style="37" width="5.5703125"/>
    <col customWidth="1" max="4887" min="4887" style="37" width="4.85546875"/>
    <col customWidth="1" max="4888" min="4888" style="37" width="13.42578125"/>
    <col customWidth="1" max="4889" min="4889" style="37" width="3.5703125"/>
    <col customWidth="1" max="5120" min="4890" style="37" width="11.42578125"/>
    <col customWidth="1" max="5121" min="5121" style="37" width="3.42578125"/>
    <col customWidth="1" max="5124" min="5122" style="37" width="11.42578125"/>
    <col customWidth="1" max="5125" min="5125" style="37" width="13.5703125"/>
    <col customWidth="1" max="5126" min="5126" style="37" width="8.5703125"/>
    <col customWidth="1" max="5127" min="5127" style="37" width="8.42578125"/>
    <col customWidth="1" max="5128" min="5128" style="37" width="3.5703125"/>
    <col customWidth="1" max="5129" min="5129" style="37" width="11.42578125"/>
    <col customWidth="1" max="5130" min="5130" style="37" width="11.140625"/>
    <col customWidth="1" max="5132" min="5131" style="37" width="7.5703125"/>
    <col customWidth="1" max="5134" min="5133" style="37" width="11.42578125"/>
    <col customWidth="1" max="5135" min="5135" style="37" width="6.85546875"/>
    <col customWidth="1" max="5136" min="5136" style="37" width="5.5703125"/>
    <col customWidth="1" max="5137" min="5137" style="37" width="4.85546875"/>
    <col customWidth="1" max="5138" min="5138" style="37" width="3.5703125"/>
    <col customWidth="1" max="5139" min="5139" style="37" width="6.5703125"/>
    <col customWidth="1" max="5140" min="5140" style="37" width="6.85546875"/>
    <col customWidth="1" max="5141" min="5141" style="37" width="9.85546875"/>
    <col customWidth="1" max="5142" min="5142" style="37" width="5.5703125"/>
    <col customWidth="1" max="5143" min="5143" style="37" width="4.85546875"/>
    <col customWidth="1" max="5144" min="5144" style="37" width="13.42578125"/>
    <col customWidth="1" max="5145" min="5145" style="37" width="3.5703125"/>
    <col customWidth="1" max="5376" min="5146" style="37" width="11.42578125"/>
    <col customWidth="1" max="5377" min="5377" style="37" width="3.42578125"/>
    <col customWidth="1" max="5380" min="5378" style="37" width="11.42578125"/>
    <col customWidth="1" max="5381" min="5381" style="37" width="13.5703125"/>
    <col customWidth="1" max="5382" min="5382" style="37" width="8.5703125"/>
    <col customWidth="1" max="5383" min="5383" style="37" width="8.42578125"/>
    <col customWidth="1" max="5384" min="5384" style="37" width="3.5703125"/>
    <col customWidth="1" max="5385" min="5385" style="37" width="11.42578125"/>
    <col customWidth="1" max="5386" min="5386" style="37" width="11.140625"/>
    <col customWidth="1" max="5388" min="5387" style="37" width="7.5703125"/>
    <col customWidth="1" max="5390" min="5389" style="37" width="11.42578125"/>
    <col customWidth="1" max="5391" min="5391" style="37" width="6.85546875"/>
    <col customWidth="1" max="5392" min="5392" style="37" width="5.5703125"/>
    <col customWidth="1" max="5393" min="5393" style="37" width="4.85546875"/>
    <col customWidth="1" max="5394" min="5394" style="37" width="3.5703125"/>
    <col customWidth="1" max="5395" min="5395" style="37" width="6.5703125"/>
    <col customWidth="1" max="5396" min="5396" style="37" width="6.85546875"/>
    <col customWidth="1" max="5397" min="5397" style="37" width="9.85546875"/>
    <col customWidth="1" max="5398" min="5398" style="37" width="5.5703125"/>
    <col customWidth="1" max="5399" min="5399" style="37" width="4.85546875"/>
    <col customWidth="1" max="5400" min="5400" style="37" width="13.42578125"/>
    <col customWidth="1" max="5401" min="5401" style="37" width="3.5703125"/>
    <col customWidth="1" max="5632" min="5402" style="37" width="11.42578125"/>
    <col customWidth="1" max="5633" min="5633" style="37" width="3.42578125"/>
    <col customWidth="1" max="5636" min="5634" style="37" width="11.42578125"/>
    <col customWidth="1" max="5637" min="5637" style="37" width="13.5703125"/>
    <col customWidth="1" max="5638" min="5638" style="37" width="8.5703125"/>
    <col customWidth="1" max="5639" min="5639" style="37" width="8.42578125"/>
    <col customWidth="1" max="5640" min="5640" style="37" width="3.5703125"/>
    <col customWidth="1" max="5641" min="5641" style="37" width="11.42578125"/>
    <col customWidth="1" max="5642" min="5642" style="37" width="11.140625"/>
    <col customWidth="1" max="5644" min="5643" style="37" width="7.5703125"/>
    <col customWidth="1" max="5646" min="5645" style="37" width="11.42578125"/>
    <col customWidth="1" max="5647" min="5647" style="37" width="6.85546875"/>
    <col customWidth="1" max="5648" min="5648" style="37" width="5.5703125"/>
    <col customWidth="1" max="5649" min="5649" style="37" width="4.85546875"/>
    <col customWidth="1" max="5650" min="5650" style="37" width="3.5703125"/>
    <col customWidth="1" max="5651" min="5651" style="37" width="6.5703125"/>
    <col customWidth="1" max="5652" min="5652" style="37" width="6.85546875"/>
    <col customWidth="1" max="5653" min="5653" style="37" width="9.85546875"/>
    <col customWidth="1" max="5654" min="5654" style="37" width="5.5703125"/>
    <col customWidth="1" max="5655" min="5655" style="37" width="4.85546875"/>
    <col customWidth="1" max="5656" min="5656" style="37" width="13.42578125"/>
    <col customWidth="1" max="5657" min="5657" style="37" width="3.5703125"/>
    <col customWidth="1" max="5888" min="5658" style="37" width="11.42578125"/>
    <col customWidth="1" max="5889" min="5889" style="37" width="3.42578125"/>
    <col customWidth="1" max="5892" min="5890" style="37" width="11.42578125"/>
    <col customWidth="1" max="5893" min="5893" style="37" width="13.5703125"/>
    <col customWidth="1" max="5894" min="5894" style="37" width="8.5703125"/>
    <col customWidth="1" max="5895" min="5895" style="37" width="8.42578125"/>
    <col customWidth="1" max="5896" min="5896" style="37" width="3.5703125"/>
    <col customWidth="1" max="5897" min="5897" style="37" width="11.42578125"/>
    <col customWidth="1" max="5898" min="5898" style="37" width="11.140625"/>
    <col customWidth="1" max="5900" min="5899" style="37" width="7.5703125"/>
    <col customWidth="1" max="5902" min="5901" style="37" width="11.42578125"/>
    <col customWidth="1" max="5903" min="5903" style="37" width="6.85546875"/>
    <col customWidth="1" max="5904" min="5904" style="37" width="5.5703125"/>
    <col customWidth="1" max="5905" min="5905" style="37" width="4.85546875"/>
    <col customWidth="1" max="5906" min="5906" style="37" width="3.5703125"/>
    <col customWidth="1" max="5907" min="5907" style="37" width="6.5703125"/>
    <col customWidth="1" max="5908" min="5908" style="37" width="6.85546875"/>
    <col customWidth="1" max="5909" min="5909" style="37" width="9.85546875"/>
    <col customWidth="1" max="5910" min="5910" style="37" width="5.5703125"/>
    <col customWidth="1" max="5911" min="5911" style="37" width="4.85546875"/>
    <col customWidth="1" max="5912" min="5912" style="37" width="13.42578125"/>
    <col customWidth="1" max="5913" min="5913" style="37" width="3.5703125"/>
    <col customWidth="1" max="6144" min="5914" style="37" width="11.42578125"/>
    <col customWidth="1" max="6145" min="6145" style="37" width="3.42578125"/>
    <col customWidth="1" max="6148" min="6146" style="37" width="11.42578125"/>
    <col customWidth="1" max="6149" min="6149" style="37" width="13.5703125"/>
    <col customWidth="1" max="6150" min="6150" style="37" width="8.5703125"/>
    <col customWidth="1" max="6151" min="6151" style="37" width="8.42578125"/>
    <col customWidth="1" max="6152" min="6152" style="37" width="3.5703125"/>
    <col customWidth="1" max="6153" min="6153" style="37" width="11.42578125"/>
    <col customWidth="1" max="6154" min="6154" style="37" width="11.140625"/>
    <col customWidth="1" max="6156" min="6155" style="37" width="7.5703125"/>
    <col customWidth="1" max="6158" min="6157" style="37" width="11.42578125"/>
    <col customWidth="1" max="6159" min="6159" style="37" width="6.85546875"/>
    <col customWidth="1" max="6160" min="6160" style="37" width="5.5703125"/>
    <col customWidth="1" max="6161" min="6161" style="37" width="4.85546875"/>
    <col customWidth="1" max="6162" min="6162" style="37" width="3.5703125"/>
    <col customWidth="1" max="6163" min="6163" style="37" width="6.5703125"/>
    <col customWidth="1" max="6164" min="6164" style="37" width="6.85546875"/>
    <col customWidth="1" max="6165" min="6165" style="37" width="9.85546875"/>
    <col customWidth="1" max="6166" min="6166" style="37" width="5.5703125"/>
    <col customWidth="1" max="6167" min="6167" style="37" width="4.85546875"/>
    <col customWidth="1" max="6168" min="6168" style="37" width="13.42578125"/>
    <col customWidth="1" max="6169" min="6169" style="37" width="3.5703125"/>
    <col customWidth="1" max="6400" min="6170" style="37" width="11.42578125"/>
    <col customWidth="1" max="6401" min="6401" style="37" width="3.42578125"/>
    <col customWidth="1" max="6404" min="6402" style="37" width="11.42578125"/>
    <col customWidth="1" max="6405" min="6405" style="37" width="13.5703125"/>
    <col customWidth="1" max="6406" min="6406" style="37" width="8.5703125"/>
    <col customWidth="1" max="6407" min="6407" style="37" width="8.42578125"/>
    <col customWidth="1" max="6408" min="6408" style="37" width="3.5703125"/>
    <col customWidth="1" max="6409" min="6409" style="37" width="11.42578125"/>
    <col customWidth="1" max="6410" min="6410" style="37" width="11.140625"/>
    <col customWidth="1" max="6412" min="6411" style="37" width="7.5703125"/>
    <col customWidth="1" max="6414" min="6413" style="37" width="11.42578125"/>
    <col customWidth="1" max="6415" min="6415" style="37" width="6.85546875"/>
    <col customWidth="1" max="6416" min="6416" style="37" width="5.5703125"/>
    <col customWidth="1" max="6417" min="6417" style="37" width="4.85546875"/>
    <col customWidth="1" max="6418" min="6418" style="37" width="3.5703125"/>
    <col customWidth="1" max="6419" min="6419" style="37" width="6.5703125"/>
    <col customWidth="1" max="6420" min="6420" style="37" width="6.85546875"/>
    <col customWidth="1" max="6421" min="6421" style="37" width="9.85546875"/>
    <col customWidth="1" max="6422" min="6422" style="37" width="5.5703125"/>
    <col customWidth="1" max="6423" min="6423" style="37" width="4.85546875"/>
    <col customWidth="1" max="6424" min="6424" style="37" width="13.42578125"/>
    <col customWidth="1" max="6425" min="6425" style="37" width="3.5703125"/>
    <col customWidth="1" max="6656" min="6426" style="37" width="11.42578125"/>
    <col customWidth="1" max="6657" min="6657" style="37" width="3.42578125"/>
    <col customWidth="1" max="6660" min="6658" style="37" width="11.42578125"/>
    <col customWidth="1" max="6661" min="6661" style="37" width="13.5703125"/>
    <col customWidth="1" max="6662" min="6662" style="37" width="8.5703125"/>
    <col customWidth="1" max="6663" min="6663" style="37" width="8.42578125"/>
    <col customWidth="1" max="6664" min="6664" style="37" width="3.5703125"/>
    <col customWidth="1" max="6665" min="6665" style="37" width="11.42578125"/>
    <col customWidth="1" max="6666" min="6666" style="37" width="11.140625"/>
    <col customWidth="1" max="6668" min="6667" style="37" width="7.5703125"/>
    <col customWidth="1" max="6670" min="6669" style="37" width="11.42578125"/>
    <col customWidth="1" max="6671" min="6671" style="37" width="6.85546875"/>
    <col customWidth="1" max="6672" min="6672" style="37" width="5.5703125"/>
    <col customWidth="1" max="6673" min="6673" style="37" width="4.85546875"/>
    <col customWidth="1" max="6674" min="6674" style="37" width="3.5703125"/>
    <col customWidth="1" max="6675" min="6675" style="37" width="6.5703125"/>
    <col customWidth="1" max="6676" min="6676" style="37" width="6.85546875"/>
    <col customWidth="1" max="6677" min="6677" style="37" width="9.85546875"/>
    <col customWidth="1" max="6678" min="6678" style="37" width="5.5703125"/>
    <col customWidth="1" max="6679" min="6679" style="37" width="4.85546875"/>
    <col customWidth="1" max="6680" min="6680" style="37" width="13.42578125"/>
    <col customWidth="1" max="6681" min="6681" style="37" width="3.5703125"/>
    <col customWidth="1" max="6912" min="6682" style="37" width="11.42578125"/>
    <col customWidth="1" max="6913" min="6913" style="37" width="3.42578125"/>
    <col customWidth="1" max="6916" min="6914" style="37" width="11.42578125"/>
    <col customWidth="1" max="6917" min="6917" style="37" width="13.5703125"/>
    <col customWidth="1" max="6918" min="6918" style="37" width="8.5703125"/>
    <col customWidth="1" max="6919" min="6919" style="37" width="8.42578125"/>
    <col customWidth="1" max="6920" min="6920" style="37" width="3.5703125"/>
    <col customWidth="1" max="6921" min="6921" style="37" width="11.42578125"/>
    <col customWidth="1" max="6922" min="6922" style="37" width="11.140625"/>
    <col customWidth="1" max="6924" min="6923" style="37" width="7.5703125"/>
    <col customWidth="1" max="6926" min="6925" style="37" width="11.42578125"/>
    <col customWidth="1" max="6927" min="6927" style="37" width="6.85546875"/>
    <col customWidth="1" max="6928" min="6928" style="37" width="5.5703125"/>
    <col customWidth="1" max="6929" min="6929" style="37" width="4.85546875"/>
    <col customWidth="1" max="6930" min="6930" style="37" width="3.5703125"/>
    <col customWidth="1" max="6931" min="6931" style="37" width="6.5703125"/>
    <col customWidth="1" max="6932" min="6932" style="37" width="6.85546875"/>
    <col customWidth="1" max="6933" min="6933" style="37" width="9.85546875"/>
    <col customWidth="1" max="6934" min="6934" style="37" width="5.5703125"/>
    <col customWidth="1" max="6935" min="6935" style="37" width="4.85546875"/>
    <col customWidth="1" max="6936" min="6936" style="37" width="13.42578125"/>
    <col customWidth="1" max="6937" min="6937" style="37" width="3.5703125"/>
    <col customWidth="1" max="7168" min="6938" style="37" width="11.42578125"/>
    <col customWidth="1" max="7169" min="7169" style="37" width="3.42578125"/>
    <col customWidth="1" max="7172" min="7170" style="37" width="11.42578125"/>
    <col customWidth="1" max="7173" min="7173" style="37" width="13.5703125"/>
    <col customWidth="1" max="7174" min="7174" style="37" width="8.5703125"/>
    <col customWidth="1" max="7175" min="7175" style="37" width="8.42578125"/>
    <col customWidth="1" max="7176" min="7176" style="37" width="3.5703125"/>
    <col customWidth="1" max="7177" min="7177" style="37" width="11.42578125"/>
    <col customWidth="1" max="7178" min="7178" style="37" width="11.140625"/>
    <col customWidth="1" max="7180" min="7179" style="37" width="7.5703125"/>
    <col customWidth="1" max="7182" min="7181" style="37" width="11.42578125"/>
    <col customWidth="1" max="7183" min="7183" style="37" width="6.85546875"/>
    <col customWidth="1" max="7184" min="7184" style="37" width="5.5703125"/>
    <col customWidth="1" max="7185" min="7185" style="37" width="4.85546875"/>
    <col customWidth="1" max="7186" min="7186" style="37" width="3.5703125"/>
    <col customWidth="1" max="7187" min="7187" style="37" width="6.5703125"/>
    <col customWidth="1" max="7188" min="7188" style="37" width="6.85546875"/>
    <col customWidth="1" max="7189" min="7189" style="37" width="9.85546875"/>
    <col customWidth="1" max="7190" min="7190" style="37" width="5.5703125"/>
    <col customWidth="1" max="7191" min="7191" style="37" width="4.85546875"/>
    <col customWidth="1" max="7192" min="7192" style="37" width="13.42578125"/>
    <col customWidth="1" max="7193" min="7193" style="37" width="3.5703125"/>
    <col customWidth="1" max="7424" min="7194" style="37" width="11.42578125"/>
    <col customWidth="1" max="7425" min="7425" style="37" width="3.42578125"/>
    <col customWidth="1" max="7428" min="7426" style="37" width="11.42578125"/>
    <col customWidth="1" max="7429" min="7429" style="37" width="13.5703125"/>
    <col customWidth="1" max="7430" min="7430" style="37" width="8.5703125"/>
    <col customWidth="1" max="7431" min="7431" style="37" width="8.42578125"/>
    <col customWidth="1" max="7432" min="7432" style="37" width="3.5703125"/>
    <col customWidth="1" max="7433" min="7433" style="37" width="11.42578125"/>
    <col customWidth="1" max="7434" min="7434" style="37" width="11.140625"/>
    <col customWidth="1" max="7436" min="7435" style="37" width="7.5703125"/>
    <col customWidth="1" max="7438" min="7437" style="37" width="11.42578125"/>
    <col customWidth="1" max="7439" min="7439" style="37" width="6.85546875"/>
    <col customWidth="1" max="7440" min="7440" style="37" width="5.5703125"/>
    <col customWidth="1" max="7441" min="7441" style="37" width="4.85546875"/>
    <col customWidth="1" max="7442" min="7442" style="37" width="3.5703125"/>
    <col customWidth="1" max="7443" min="7443" style="37" width="6.5703125"/>
    <col customWidth="1" max="7444" min="7444" style="37" width="6.85546875"/>
    <col customWidth="1" max="7445" min="7445" style="37" width="9.85546875"/>
    <col customWidth="1" max="7446" min="7446" style="37" width="5.5703125"/>
    <col customWidth="1" max="7447" min="7447" style="37" width="4.85546875"/>
    <col customWidth="1" max="7448" min="7448" style="37" width="13.42578125"/>
    <col customWidth="1" max="7449" min="7449" style="37" width="3.5703125"/>
    <col customWidth="1" max="7680" min="7450" style="37" width="11.42578125"/>
    <col customWidth="1" max="7681" min="7681" style="37" width="3.42578125"/>
    <col customWidth="1" max="7684" min="7682" style="37" width="11.42578125"/>
    <col customWidth="1" max="7685" min="7685" style="37" width="13.5703125"/>
    <col customWidth="1" max="7686" min="7686" style="37" width="8.5703125"/>
    <col customWidth="1" max="7687" min="7687" style="37" width="8.42578125"/>
    <col customWidth="1" max="7688" min="7688" style="37" width="3.5703125"/>
    <col customWidth="1" max="7689" min="7689" style="37" width="11.42578125"/>
    <col customWidth="1" max="7690" min="7690" style="37" width="11.140625"/>
    <col customWidth="1" max="7692" min="7691" style="37" width="7.5703125"/>
    <col customWidth="1" max="7694" min="7693" style="37" width="11.42578125"/>
    <col customWidth="1" max="7695" min="7695" style="37" width="6.85546875"/>
    <col customWidth="1" max="7696" min="7696" style="37" width="5.5703125"/>
    <col customWidth="1" max="7697" min="7697" style="37" width="4.85546875"/>
    <col customWidth="1" max="7698" min="7698" style="37" width="3.5703125"/>
    <col customWidth="1" max="7699" min="7699" style="37" width="6.5703125"/>
    <col customWidth="1" max="7700" min="7700" style="37" width="6.85546875"/>
    <col customWidth="1" max="7701" min="7701" style="37" width="9.85546875"/>
    <col customWidth="1" max="7702" min="7702" style="37" width="5.5703125"/>
    <col customWidth="1" max="7703" min="7703" style="37" width="4.85546875"/>
    <col customWidth="1" max="7704" min="7704" style="37" width="13.42578125"/>
    <col customWidth="1" max="7705" min="7705" style="37" width="3.5703125"/>
    <col customWidth="1" max="7936" min="7706" style="37" width="11.42578125"/>
    <col customWidth="1" max="7937" min="7937" style="37" width="3.42578125"/>
    <col customWidth="1" max="7940" min="7938" style="37" width="11.42578125"/>
    <col customWidth="1" max="7941" min="7941" style="37" width="13.5703125"/>
    <col customWidth="1" max="7942" min="7942" style="37" width="8.5703125"/>
    <col customWidth="1" max="7943" min="7943" style="37" width="8.42578125"/>
    <col customWidth="1" max="7944" min="7944" style="37" width="3.5703125"/>
    <col customWidth="1" max="7945" min="7945" style="37" width="11.42578125"/>
    <col customWidth="1" max="7946" min="7946" style="37" width="11.140625"/>
    <col customWidth="1" max="7948" min="7947" style="37" width="7.5703125"/>
    <col customWidth="1" max="7950" min="7949" style="37" width="11.42578125"/>
    <col customWidth="1" max="7951" min="7951" style="37" width="6.85546875"/>
    <col customWidth="1" max="7952" min="7952" style="37" width="5.5703125"/>
    <col customWidth="1" max="7953" min="7953" style="37" width="4.85546875"/>
    <col customWidth="1" max="7954" min="7954" style="37" width="3.5703125"/>
    <col customWidth="1" max="7955" min="7955" style="37" width="6.5703125"/>
    <col customWidth="1" max="7956" min="7956" style="37" width="6.85546875"/>
    <col customWidth="1" max="7957" min="7957" style="37" width="9.85546875"/>
    <col customWidth="1" max="7958" min="7958" style="37" width="5.5703125"/>
    <col customWidth="1" max="7959" min="7959" style="37" width="4.85546875"/>
    <col customWidth="1" max="7960" min="7960" style="37" width="13.42578125"/>
    <col customWidth="1" max="7961" min="7961" style="37" width="3.5703125"/>
    <col customWidth="1" max="8192" min="7962" style="37" width="11.42578125"/>
    <col customWidth="1" max="8193" min="8193" style="37" width="3.42578125"/>
    <col customWidth="1" max="8196" min="8194" style="37" width="11.42578125"/>
    <col customWidth="1" max="8197" min="8197" style="37" width="13.5703125"/>
    <col customWidth="1" max="8198" min="8198" style="37" width="8.5703125"/>
    <col customWidth="1" max="8199" min="8199" style="37" width="8.42578125"/>
    <col customWidth="1" max="8200" min="8200" style="37" width="3.5703125"/>
    <col customWidth="1" max="8201" min="8201" style="37" width="11.42578125"/>
    <col customWidth="1" max="8202" min="8202" style="37" width="11.140625"/>
    <col customWidth="1" max="8204" min="8203" style="37" width="7.5703125"/>
    <col customWidth="1" max="8206" min="8205" style="37" width="11.42578125"/>
    <col customWidth="1" max="8207" min="8207" style="37" width="6.85546875"/>
    <col customWidth="1" max="8208" min="8208" style="37" width="5.5703125"/>
    <col customWidth="1" max="8209" min="8209" style="37" width="4.85546875"/>
    <col customWidth="1" max="8210" min="8210" style="37" width="3.5703125"/>
    <col customWidth="1" max="8211" min="8211" style="37" width="6.5703125"/>
    <col customWidth="1" max="8212" min="8212" style="37" width="6.85546875"/>
    <col customWidth="1" max="8213" min="8213" style="37" width="9.85546875"/>
    <col customWidth="1" max="8214" min="8214" style="37" width="5.5703125"/>
    <col customWidth="1" max="8215" min="8215" style="37" width="4.85546875"/>
    <col customWidth="1" max="8216" min="8216" style="37" width="13.42578125"/>
    <col customWidth="1" max="8217" min="8217" style="37" width="3.5703125"/>
    <col customWidth="1" max="8448" min="8218" style="37" width="11.42578125"/>
    <col customWidth="1" max="8449" min="8449" style="37" width="3.42578125"/>
    <col customWidth="1" max="8452" min="8450" style="37" width="11.42578125"/>
    <col customWidth="1" max="8453" min="8453" style="37" width="13.5703125"/>
    <col customWidth="1" max="8454" min="8454" style="37" width="8.5703125"/>
    <col customWidth="1" max="8455" min="8455" style="37" width="8.42578125"/>
    <col customWidth="1" max="8456" min="8456" style="37" width="3.5703125"/>
    <col customWidth="1" max="8457" min="8457" style="37" width="11.42578125"/>
    <col customWidth="1" max="8458" min="8458" style="37" width="11.140625"/>
    <col customWidth="1" max="8460" min="8459" style="37" width="7.5703125"/>
    <col customWidth="1" max="8462" min="8461" style="37" width="11.42578125"/>
    <col customWidth="1" max="8463" min="8463" style="37" width="6.85546875"/>
    <col customWidth="1" max="8464" min="8464" style="37" width="5.5703125"/>
    <col customWidth="1" max="8465" min="8465" style="37" width="4.85546875"/>
    <col customWidth="1" max="8466" min="8466" style="37" width="3.5703125"/>
    <col customWidth="1" max="8467" min="8467" style="37" width="6.5703125"/>
    <col customWidth="1" max="8468" min="8468" style="37" width="6.85546875"/>
    <col customWidth="1" max="8469" min="8469" style="37" width="9.85546875"/>
    <col customWidth="1" max="8470" min="8470" style="37" width="5.5703125"/>
    <col customWidth="1" max="8471" min="8471" style="37" width="4.85546875"/>
    <col customWidth="1" max="8472" min="8472" style="37" width="13.42578125"/>
    <col customWidth="1" max="8473" min="8473" style="37" width="3.5703125"/>
    <col customWidth="1" max="8704" min="8474" style="37" width="11.42578125"/>
    <col customWidth="1" max="8705" min="8705" style="37" width="3.42578125"/>
    <col customWidth="1" max="8708" min="8706" style="37" width="11.42578125"/>
    <col customWidth="1" max="8709" min="8709" style="37" width="13.5703125"/>
    <col customWidth="1" max="8710" min="8710" style="37" width="8.5703125"/>
    <col customWidth="1" max="8711" min="8711" style="37" width="8.42578125"/>
    <col customWidth="1" max="8712" min="8712" style="37" width="3.5703125"/>
    <col customWidth="1" max="8713" min="8713" style="37" width="11.42578125"/>
    <col customWidth="1" max="8714" min="8714" style="37" width="11.140625"/>
    <col customWidth="1" max="8716" min="8715" style="37" width="7.5703125"/>
    <col customWidth="1" max="8718" min="8717" style="37" width="11.42578125"/>
    <col customWidth="1" max="8719" min="8719" style="37" width="6.85546875"/>
    <col customWidth="1" max="8720" min="8720" style="37" width="5.5703125"/>
    <col customWidth="1" max="8721" min="8721" style="37" width="4.85546875"/>
    <col customWidth="1" max="8722" min="8722" style="37" width="3.5703125"/>
    <col customWidth="1" max="8723" min="8723" style="37" width="6.5703125"/>
    <col customWidth="1" max="8724" min="8724" style="37" width="6.85546875"/>
    <col customWidth="1" max="8725" min="8725" style="37" width="9.85546875"/>
    <col customWidth="1" max="8726" min="8726" style="37" width="5.5703125"/>
    <col customWidth="1" max="8727" min="8727" style="37" width="4.85546875"/>
    <col customWidth="1" max="8728" min="8728" style="37" width="13.42578125"/>
    <col customWidth="1" max="8729" min="8729" style="37" width="3.5703125"/>
    <col customWidth="1" max="8960" min="8730" style="37" width="11.42578125"/>
    <col customWidth="1" max="8961" min="8961" style="37" width="3.42578125"/>
    <col customWidth="1" max="8964" min="8962" style="37" width="11.42578125"/>
    <col customWidth="1" max="8965" min="8965" style="37" width="13.5703125"/>
    <col customWidth="1" max="8966" min="8966" style="37" width="8.5703125"/>
    <col customWidth="1" max="8967" min="8967" style="37" width="8.42578125"/>
    <col customWidth="1" max="8968" min="8968" style="37" width="3.5703125"/>
    <col customWidth="1" max="8969" min="8969" style="37" width="11.42578125"/>
    <col customWidth="1" max="8970" min="8970" style="37" width="11.140625"/>
    <col customWidth="1" max="8972" min="8971" style="37" width="7.5703125"/>
    <col customWidth="1" max="8974" min="8973" style="37" width="11.42578125"/>
    <col customWidth="1" max="8975" min="8975" style="37" width="6.85546875"/>
    <col customWidth="1" max="8976" min="8976" style="37" width="5.5703125"/>
    <col customWidth="1" max="8977" min="8977" style="37" width="4.85546875"/>
    <col customWidth="1" max="8978" min="8978" style="37" width="3.5703125"/>
    <col customWidth="1" max="8979" min="8979" style="37" width="6.5703125"/>
    <col customWidth="1" max="8980" min="8980" style="37" width="6.85546875"/>
    <col customWidth="1" max="8981" min="8981" style="37" width="9.85546875"/>
    <col customWidth="1" max="8982" min="8982" style="37" width="5.5703125"/>
    <col customWidth="1" max="8983" min="8983" style="37" width="4.85546875"/>
    <col customWidth="1" max="8984" min="8984" style="37" width="13.42578125"/>
    <col customWidth="1" max="8985" min="8985" style="37" width="3.5703125"/>
    <col customWidth="1" max="9216" min="8986" style="37" width="11.42578125"/>
    <col customWidth="1" max="9217" min="9217" style="37" width="3.42578125"/>
    <col customWidth="1" max="9220" min="9218" style="37" width="11.42578125"/>
    <col customWidth="1" max="9221" min="9221" style="37" width="13.5703125"/>
    <col customWidth="1" max="9222" min="9222" style="37" width="8.5703125"/>
    <col customWidth="1" max="9223" min="9223" style="37" width="8.42578125"/>
    <col customWidth="1" max="9224" min="9224" style="37" width="3.5703125"/>
    <col customWidth="1" max="9225" min="9225" style="37" width="11.42578125"/>
    <col customWidth="1" max="9226" min="9226" style="37" width="11.140625"/>
    <col customWidth="1" max="9228" min="9227" style="37" width="7.5703125"/>
    <col customWidth="1" max="9230" min="9229" style="37" width="11.42578125"/>
    <col customWidth="1" max="9231" min="9231" style="37" width="6.85546875"/>
    <col customWidth="1" max="9232" min="9232" style="37" width="5.5703125"/>
    <col customWidth="1" max="9233" min="9233" style="37" width="4.85546875"/>
    <col customWidth="1" max="9234" min="9234" style="37" width="3.5703125"/>
    <col customWidth="1" max="9235" min="9235" style="37" width="6.5703125"/>
    <col customWidth="1" max="9236" min="9236" style="37" width="6.85546875"/>
    <col customWidth="1" max="9237" min="9237" style="37" width="9.85546875"/>
    <col customWidth="1" max="9238" min="9238" style="37" width="5.5703125"/>
    <col customWidth="1" max="9239" min="9239" style="37" width="4.85546875"/>
    <col customWidth="1" max="9240" min="9240" style="37" width="13.42578125"/>
    <col customWidth="1" max="9241" min="9241" style="37" width="3.5703125"/>
    <col customWidth="1" max="9472" min="9242" style="37" width="11.42578125"/>
    <col customWidth="1" max="9473" min="9473" style="37" width="3.42578125"/>
    <col customWidth="1" max="9476" min="9474" style="37" width="11.42578125"/>
    <col customWidth="1" max="9477" min="9477" style="37" width="13.5703125"/>
    <col customWidth="1" max="9478" min="9478" style="37" width="8.5703125"/>
    <col customWidth="1" max="9479" min="9479" style="37" width="8.42578125"/>
    <col customWidth="1" max="9480" min="9480" style="37" width="3.5703125"/>
    <col customWidth="1" max="9481" min="9481" style="37" width="11.42578125"/>
    <col customWidth="1" max="9482" min="9482" style="37" width="11.140625"/>
    <col customWidth="1" max="9484" min="9483" style="37" width="7.5703125"/>
    <col customWidth="1" max="9486" min="9485" style="37" width="11.42578125"/>
    <col customWidth="1" max="9487" min="9487" style="37" width="6.85546875"/>
    <col customWidth="1" max="9488" min="9488" style="37" width="5.5703125"/>
    <col customWidth="1" max="9489" min="9489" style="37" width="4.85546875"/>
    <col customWidth="1" max="9490" min="9490" style="37" width="3.5703125"/>
    <col customWidth="1" max="9491" min="9491" style="37" width="6.5703125"/>
    <col customWidth="1" max="9492" min="9492" style="37" width="6.85546875"/>
    <col customWidth="1" max="9493" min="9493" style="37" width="9.85546875"/>
    <col customWidth="1" max="9494" min="9494" style="37" width="5.5703125"/>
    <col customWidth="1" max="9495" min="9495" style="37" width="4.85546875"/>
    <col customWidth="1" max="9496" min="9496" style="37" width="13.42578125"/>
    <col customWidth="1" max="9497" min="9497" style="37" width="3.5703125"/>
    <col customWidth="1" max="9728" min="9498" style="37" width="11.42578125"/>
    <col customWidth="1" max="9729" min="9729" style="37" width="3.42578125"/>
    <col customWidth="1" max="9732" min="9730" style="37" width="11.42578125"/>
    <col customWidth="1" max="9733" min="9733" style="37" width="13.5703125"/>
    <col customWidth="1" max="9734" min="9734" style="37" width="8.5703125"/>
    <col customWidth="1" max="9735" min="9735" style="37" width="8.42578125"/>
    <col customWidth="1" max="9736" min="9736" style="37" width="3.5703125"/>
    <col customWidth="1" max="9737" min="9737" style="37" width="11.42578125"/>
    <col customWidth="1" max="9738" min="9738" style="37" width="11.140625"/>
    <col customWidth="1" max="9740" min="9739" style="37" width="7.5703125"/>
    <col customWidth="1" max="9742" min="9741" style="37" width="11.42578125"/>
    <col customWidth="1" max="9743" min="9743" style="37" width="6.85546875"/>
    <col customWidth="1" max="9744" min="9744" style="37" width="5.5703125"/>
    <col customWidth="1" max="9745" min="9745" style="37" width="4.85546875"/>
    <col customWidth="1" max="9746" min="9746" style="37" width="3.5703125"/>
    <col customWidth="1" max="9747" min="9747" style="37" width="6.5703125"/>
    <col customWidth="1" max="9748" min="9748" style="37" width="6.85546875"/>
    <col customWidth="1" max="9749" min="9749" style="37" width="9.85546875"/>
    <col customWidth="1" max="9750" min="9750" style="37" width="5.5703125"/>
    <col customWidth="1" max="9751" min="9751" style="37" width="4.85546875"/>
    <col customWidth="1" max="9752" min="9752" style="37" width="13.42578125"/>
    <col customWidth="1" max="9753" min="9753" style="37" width="3.5703125"/>
    <col customWidth="1" max="9984" min="9754" style="37" width="11.42578125"/>
    <col customWidth="1" max="9985" min="9985" style="37" width="3.42578125"/>
    <col customWidth="1" max="9988" min="9986" style="37" width="11.42578125"/>
    <col customWidth="1" max="9989" min="9989" style="37" width="13.5703125"/>
    <col customWidth="1" max="9990" min="9990" style="37" width="8.5703125"/>
    <col customWidth="1" max="9991" min="9991" style="37" width="8.42578125"/>
    <col customWidth="1" max="9992" min="9992" style="37" width="3.5703125"/>
    <col customWidth="1" max="9993" min="9993" style="37" width="11.42578125"/>
    <col customWidth="1" max="9994" min="9994" style="37" width="11.140625"/>
    <col customWidth="1" max="9996" min="9995" style="37" width="7.5703125"/>
    <col customWidth="1" max="9998" min="9997" style="37" width="11.42578125"/>
    <col customWidth="1" max="9999" min="9999" style="37" width="6.85546875"/>
    <col customWidth="1" max="10000" min="10000" style="37" width="5.5703125"/>
    <col customWidth="1" max="10001" min="10001" style="37" width="4.85546875"/>
    <col customWidth="1" max="10002" min="10002" style="37" width="3.5703125"/>
    <col customWidth="1" max="10003" min="10003" style="37" width="6.5703125"/>
    <col customWidth="1" max="10004" min="10004" style="37" width="6.85546875"/>
    <col customWidth="1" max="10005" min="10005" style="37" width="9.85546875"/>
    <col customWidth="1" max="10006" min="10006" style="37" width="5.5703125"/>
    <col customWidth="1" max="10007" min="10007" style="37" width="4.85546875"/>
    <col customWidth="1" max="10008" min="10008" style="37" width="13.42578125"/>
    <col customWidth="1" max="10009" min="10009" style="37" width="3.5703125"/>
    <col customWidth="1" max="10240" min="10010" style="37" width="11.42578125"/>
    <col customWidth="1" max="10241" min="10241" style="37" width="3.42578125"/>
    <col customWidth="1" max="10244" min="10242" style="37" width="11.42578125"/>
    <col customWidth="1" max="10245" min="10245" style="37" width="13.5703125"/>
    <col customWidth="1" max="10246" min="10246" style="37" width="8.5703125"/>
    <col customWidth="1" max="10247" min="10247" style="37" width="8.42578125"/>
    <col customWidth="1" max="10248" min="10248" style="37" width="3.5703125"/>
    <col customWidth="1" max="10249" min="10249" style="37" width="11.42578125"/>
    <col customWidth="1" max="10250" min="10250" style="37" width="11.140625"/>
    <col customWidth="1" max="10252" min="10251" style="37" width="7.5703125"/>
    <col customWidth="1" max="10254" min="10253" style="37" width="11.42578125"/>
    <col customWidth="1" max="10255" min="10255" style="37" width="6.85546875"/>
    <col customWidth="1" max="10256" min="10256" style="37" width="5.5703125"/>
    <col customWidth="1" max="10257" min="10257" style="37" width="4.85546875"/>
    <col customWidth="1" max="10258" min="10258" style="37" width="3.5703125"/>
    <col customWidth="1" max="10259" min="10259" style="37" width="6.5703125"/>
    <col customWidth="1" max="10260" min="10260" style="37" width="6.85546875"/>
    <col customWidth="1" max="10261" min="10261" style="37" width="9.85546875"/>
    <col customWidth="1" max="10262" min="10262" style="37" width="5.5703125"/>
    <col customWidth="1" max="10263" min="10263" style="37" width="4.85546875"/>
    <col customWidth="1" max="10264" min="10264" style="37" width="13.42578125"/>
    <col customWidth="1" max="10265" min="10265" style="37" width="3.5703125"/>
    <col customWidth="1" max="10496" min="10266" style="37" width="11.42578125"/>
    <col customWidth="1" max="10497" min="10497" style="37" width="3.42578125"/>
    <col customWidth="1" max="10500" min="10498" style="37" width="11.42578125"/>
    <col customWidth="1" max="10501" min="10501" style="37" width="13.5703125"/>
    <col customWidth="1" max="10502" min="10502" style="37" width="8.5703125"/>
    <col customWidth="1" max="10503" min="10503" style="37" width="8.42578125"/>
    <col customWidth="1" max="10504" min="10504" style="37" width="3.5703125"/>
    <col customWidth="1" max="10505" min="10505" style="37" width="11.42578125"/>
    <col customWidth="1" max="10506" min="10506" style="37" width="11.140625"/>
    <col customWidth="1" max="10508" min="10507" style="37" width="7.5703125"/>
    <col customWidth="1" max="10510" min="10509" style="37" width="11.42578125"/>
    <col customWidth="1" max="10511" min="10511" style="37" width="6.85546875"/>
    <col customWidth="1" max="10512" min="10512" style="37" width="5.5703125"/>
    <col customWidth="1" max="10513" min="10513" style="37" width="4.85546875"/>
    <col customWidth="1" max="10514" min="10514" style="37" width="3.5703125"/>
    <col customWidth="1" max="10515" min="10515" style="37" width="6.5703125"/>
    <col customWidth="1" max="10516" min="10516" style="37" width="6.85546875"/>
    <col customWidth="1" max="10517" min="10517" style="37" width="9.85546875"/>
    <col customWidth="1" max="10518" min="10518" style="37" width="5.5703125"/>
    <col customWidth="1" max="10519" min="10519" style="37" width="4.85546875"/>
    <col customWidth="1" max="10520" min="10520" style="37" width="13.42578125"/>
    <col customWidth="1" max="10521" min="10521" style="37" width="3.5703125"/>
    <col customWidth="1" max="10752" min="10522" style="37" width="11.42578125"/>
    <col customWidth="1" max="10753" min="10753" style="37" width="3.42578125"/>
    <col customWidth="1" max="10756" min="10754" style="37" width="11.42578125"/>
    <col customWidth="1" max="10757" min="10757" style="37" width="13.5703125"/>
    <col customWidth="1" max="10758" min="10758" style="37" width="8.5703125"/>
    <col customWidth="1" max="10759" min="10759" style="37" width="8.42578125"/>
    <col customWidth="1" max="10760" min="10760" style="37" width="3.5703125"/>
    <col customWidth="1" max="10761" min="10761" style="37" width="11.42578125"/>
    <col customWidth="1" max="10762" min="10762" style="37" width="11.140625"/>
    <col customWidth="1" max="10764" min="10763" style="37" width="7.5703125"/>
    <col customWidth="1" max="10766" min="10765" style="37" width="11.42578125"/>
    <col customWidth="1" max="10767" min="10767" style="37" width="6.85546875"/>
    <col customWidth="1" max="10768" min="10768" style="37" width="5.5703125"/>
    <col customWidth="1" max="10769" min="10769" style="37" width="4.85546875"/>
    <col customWidth="1" max="10770" min="10770" style="37" width="3.5703125"/>
    <col customWidth="1" max="10771" min="10771" style="37" width="6.5703125"/>
    <col customWidth="1" max="10772" min="10772" style="37" width="6.85546875"/>
    <col customWidth="1" max="10773" min="10773" style="37" width="9.85546875"/>
    <col customWidth="1" max="10774" min="10774" style="37" width="5.5703125"/>
    <col customWidth="1" max="10775" min="10775" style="37" width="4.85546875"/>
    <col customWidth="1" max="10776" min="10776" style="37" width="13.42578125"/>
    <col customWidth="1" max="10777" min="10777" style="37" width="3.5703125"/>
    <col customWidth="1" max="11008" min="10778" style="37" width="11.42578125"/>
    <col customWidth="1" max="11009" min="11009" style="37" width="3.42578125"/>
    <col customWidth="1" max="11012" min="11010" style="37" width="11.42578125"/>
    <col customWidth="1" max="11013" min="11013" style="37" width="13.5703125"/>
    <col customWidth="1" max="11014" min="11014" style="37" width="8.5703125"/>
    <col customWidth="1" max="11015" min="11015" style="37" width="8.42578125"/>
    <col customWidth="1" max="11016" min="11016" style="37" width="3.5703125"/>
    <col customWidth="1" max="11017" min="11017" style="37" width="11.42578125"/>
    <col customWidth="1" max="11018" min="11018" style="37" width="11.140625"/>
    <col customWidth="1" max="11020" min="11019" style="37" width="7.5703125"/>
    <col customWidth="1" max="11022" min="11021" style="37" width="11.42578125"/>
    <col customWidth="1" max="11023" min="11023" style="37" width="6.85546875"/>
    <col customWidth="1" max="11024" min="11024" style="37" width="5.5703125"/>
    <col customWidth="1" max="11025" min="11025" style="37" width="4.85546875"/>
    <col customWidth="1" max="11026" min="11026" style="37" width="3.5703125"/>
    <col customWidth="1" max="11027" min="11027" style="37" width="6.5703125"/>
    <col customWidth="1" max="11028" min="11028" style="37" width="6.85546875"/>
    <col customWidth="1" max="11029" min="11029" style="37" width="9.85546875"/>
    <col customWidth="1" max="11030" min="11030" style="37" width="5.5703125"/>
    <col customWidth="1" max="11031" min="11031" style="37" width="4.85546875"/>
    <col customWidth="1" max="11032" min="11032" style="37" width="13.42578125"/>
    <col customWidth="1" max="11033" min="11033" style="37" width="3.5703125"/>
    <col customWidth="1" max="11264" min="11034" style="37" width="11.42578125"/>
    <col customWidth="1" max="11265" min="11265" style="37" width="3.42578125"/>
    <col customWidth="1" max="11268" min="11266" style="37" width="11.42578125"/>
    <col customWidth="1" max="11269" min="11269" style="37" width="13.5703125"/>
    <col customWidth="1" max="11270" min="11270" style="37" width="8.5703125"/>
    <col customWidth="1" max="11271" min="11271" style="37" width="8.42578125"/>
    <col customWidth="1" max="11272" min="11272" style="37" width="3.5703125"/>
    <col customWidth="1" max="11273" min="11273" style="37" width="11.42578125"/>
    <col customWidth="1" max="11274" min="11274" style="37" width="11.140625"/>
    <col customWidth="1" max="11276" min="11275" style="37" width="7.5703125"/>
    <col customWidth="1" max="11278" min="11277" style="37" width="11.42578125"/>
    <col customWidth="1" max="11279" min="11279" style="37" width="6.85546875"/>
    <col customWidth="1" max="11280" min="11280" style="37" width="5.5703125"/>
    <col customWidth="1" max="11281" min="11281" style="37" width="4.85546875"/>
    <col customWidth="1" max="11282" min="11282" style="37" width="3.5703125"/>
    <col customWidth="1" max="11283" min="11283" style="37" width="6.5703125"/>
    <col customWidth="1" max="11284" min="11284" style="37" width="6.85546875"/>
    <col customWidth="1" max="11285" min="11285" style="37" width="9.85546875"/>
    <col customWidth="1" max="11286" min="11286" style="37" width="5.5703125"/>
    <col customWidth="1" max="11287" min="11287" style="37" width="4.85546875"/>
    <col customWidth="1" max="11288" min="11288" style="37" width="13.42578125"/>
    <col customWidth="1" max="11289" min="11289" style="37" width="3.5703125"/>
    <col customWidth="1" max="11520" min="11290" style="37" width="11.42578125"/>
    <col customWidth="1" max="11521" min="11521" style="37" width="3.42578125"/>
    <col customWidth="1" max="11524" min="11522" style="37" width="11.42578125"/>
    <col customWidth="1" max="11525" min="11525" style="37" width="13.5703125"/>
    <col customWidth="1" max="11526" min="11526" style="37" width="8.5703125"/>
    <col customWidth="1" max="11527" min="11527" style="37" width="8.42578125"/>
    <col customWidth="1" max="11528" min="11528" style="37" width="3.5703125"/>
    <col customWidth="1" max="11529" min="11529" style="37" width="11.42578125"/>
    <col customWidth="1" max="11530" min="11530" style="37" width="11.140625"/>
    <col customWidth="1" max="11532" min="11531" style="37" width="7.5703125"/>
    <col customWidth="1" max="11534" min="11533" style="37" width="11.42578125"/>
    <col customWidth="1" max="11535" min="11535" style="37" width="6.85546875"/>
    <col customWidth="1" max="11536" min="11536" style="37" width="5.5703125"/>
    <col customWidth="1" max="11537" min="11537" style="37" width="4.85546875"/>
    <col customWidth="1" max="11538" min="11538" style="37" width="3.5703125"/>
    <col customWidth="1" max="11539" min="11539" style="37" width="6.5703125"/>
    <col customWidth="1" max="11540" min="11540" style="37" width="6.85546875"/>
    <col customWidth="1" max="11541" min="11541" style="37" width="9.85546875"/>
    <col customWidth="1" max="11542" min="11542" style="37" width="5.5703125"/>
    <col customWidth="1" max="11543" min="11543" style="37" width="4.85546875"/>
    <col customWidth="1" max="11544" min="11544" style="37" width="13.42578125"/>
    <col customWidth="1" max="11545" min="11545" style="37" width="3.5703125"/>
    <col customWidth="1" max="11776" min="11546" style="37" width="11.42578125"/>
    <col customWidth="1" max="11777" min="11777" style="37" width="3.42578125"/>
    <col customWidth="1" max="11780" min="11778" style="37" width="11.42578125"/>
    <col customWidth="1" max="11781" min="11781" style="37" width="13.5703125"/>
    <col customWidth="1" max="11782" min="11782" style="37" width="8.5703125"/>
    <col customWidth="1" max="11783" min="11783" style="37" width="8.42578125"/>
    <col customWidth="1" max="11784" min="11784" style="37" width="3.5703125"/>
    <col customWidth="1" max="11785" min="11785" style="37" width="11.42578125"/>
    <col customWidth="1" max="11786" min="11786" style="37" width="11.140625"/>
    <col customWidth="1" max="11788" min="11787" style="37" width="7.5703125"/>
    <col customWidth="1" max="11790" min="11789" style="37" width="11.42578125"/>
    <col customWidth="1" max="11791" min="11791" style="37" width="6.85546875"/>
    <col customWidth="1" max="11792" min="11792" style="37" width="5.5703125"/>
    <col customWidth="1" max="11793" min="11793" style="37" width="4.85546875"/>
    <col customWidth="1" max="11794" min="11794" style="37" width="3.5703125"/>
    <col customWidth="1" max="11795" min="11795" style="37" width="6.5703125"/>
    <col customWidth="1" max="11796" min="11796" style="37" width="6.85546875"/>
    <col customWidth="1" max="11797" min="11797" style="37" width="9.85546875"/>
    <col customWidth="1" max="11798" min="11798" style="37" width="5.5703125"/>
    <col customWidth="1" max="11799" min="11799" style="37" width="4.85546875"/>
    <col customWidth="1" max="11800" min="11800" style="37" width="13.42578125"/>
    <col customWidth="1" max="11801" min="11801" style="37" width="3.5703125"/>
    <col customWidth="1" max="12032" min="11802" style="37" width="11.42578125"/>
    <col customWidth="1" max="12033" min="12033" style="37" width="3.42578125"/>
    <col customWidth="1" max="12036" min="12034" style="37" width="11.42578125"/>
    <col customWidth="1" max="12037" min="12037" style="37" width="13.5703125"/>
    <col customWidth="1" max="12038" min="12038" style="37" width="8.5703125"/>
    <col customWidth="1" max="12039" min="12039" style="37" width="8.42578125"/>
    <col customWidth="1" max="12040" min="12040" style="37" width="3.5703125"/>
    <col customWidth="1" max="12041" min="12041" style="37" width="11.42578125"/>
    <col customWidth="1" max="12042" min="12042" style="37" width="11.140625"/>
    <col customWidth="1" max="12044" min="12043" style="37" width="7.5703125"/>
    <col customWidth="1" max="12046" min="12045" style="37" width="11.42578125"/>
    <col customWidth="1" max="12047" min="12047" style="37" width="6.85546875"/>
    <col customWidth="1" max="12048" min="12048" style="37" width="5.5703125"/>
    <col customWidth="1" max="12049" min="12049" style="37" width="4.85546875"/>
    <col customWidth="1" max="12050" min="12050" style="37" width="3.5703125"/>
    <col customWidth="1" max="12051" min="12051" style="37" width="6.5703125"/>
    <col customWidth="1" max="12052" min="12052" style="37" width="6.85546875"/>
    <col customWidth="1" max="12053" min="12053" style="37" width="9.85546875"/>
    <col customWidth="1" max="12054" min="12054" style="37" width="5.5703125"/>
    <col customWidth="1" max="12055" min="12055" style="37" width="4.85546875"/>
    <col customWidth="1" max="12056" min="12056" style="37" width="13.42578125"/>
    <col customWidth="1" max="12057" min="12057" style="37" width="3.5703125"/>
    <col customWidth="1" max="12288" min="12058" style="37" width="11.42578125"/>
    <col customWidth="1" max="12289" min="12289" style="37" width="3.42578125"/>
    <col customWidth="1" max="12292" min="12290" style="37" width="11.42578125"/>
    <col customWidth="1" max="12293" min="12293" style="37" width="13.5703125"/>
    <col customWidth="1" max="12294" min="12294" style="37" width="8.5703125"/>
    <col customWidth="1" max="12295" min="12295" style="37" width="8.42578125"/>
    <col customWidth="1" max="12296" min="12296" style="37" width="3.5703125"/>
    <col customWidth="1" max="12297" min="12297" style="37" width="11.42578125"/>
    <col customWidth="1" max="12298" min="12298" style="37" width="11.140625"/>
    <col customWidth="1" max="12300" min="12299" style="37" width="7.5703125"/>
    <col customWidth="1" max="12302" min="12301" style="37" width="11.42578125"/>
    <col customWidth="1" max="12303" min="12303" style="37" width="6.85546875"/>
    <col customWidth="1" max="12304" min="12304" style="37" width="5.5703125"/>
    <col customWidth="1" max="12305" min="12305" style="37" width="4.85546875"/>
    <col customWidth="1" max="12306" min="12306" style="37" width="3.5703125"/>
    <col customWidth="1" max="12307" min="12307" style="37" width="6.5703125"/>
    <col customWidth="1" max="12308" min="12308" style="37" width="6.85546875"/>
    <col customWidth="1" max="12309" min="12309" style="37" width="9.85546875"/>
    <col customWidth="1" max="12310" min="12310" style="37" width="5.5703125"/>
    <col customWidth="1" max="12311" min="12311" style="37" width="4.85546875"/>
    <col customWidth="1" max="12312" min="12312" style="37" width="13.42578125"/>
    <col customWidth="1" max="12313" min="12313" style="37" width="3.5703125"/>
    <col customWidth="1" max="12544" min="12314" style="37" width="11.42578125"/>
    <col customWidth="1" max="12545" min="12545" style="37" width="3.42578125"/>
    <col customWidth="1" max="12548" min="12546" style="37" width="11.42578125"/>
    <col customWidth="1" max="12549" min="12549" style="37" width="13.5703125"/>
    <col customWidth="1" max="12550" min="12550" style="37" width="8.5703125"/>
    <col customWidth="1" max="12551" min="12551" style="37" width="8.42578125"/>
    <col customWidth="1" max="12552" min="12552" style="37" width="3.5703125"/>
    <col customWidth="1" max="12553" min="12553" style="37" width="11.42578125"/>
    <col customWidth="1" max="12554" min="12554" style="37" width="11.140625"/>
    <col customWidth="1" max="12556" min="12555" style="37" width="7.5703125"/>
    <col customWidth="1" max="12558" min="12557" style="37" width="11.42578125"/>
    <col customWidth="1" max="12559" min="12559" style="37" width="6.85546875"/>
    <col customWidth="1" max="12560" min="12560" style="37" width="5.5703125"/>
    <col customWidth="1" max="12561" min="12561" style="37" width="4.85546875"/>
    <col customWidth="1" max="12562" min="12562" style="37" width="3.5703125"/>
    <col customWidth="1" max="12563" min="12563" style="37" width="6.5703125"/>
    <col customWidth="1" max="12564" min="12564" style="37" width="6.85546875"/>
    <col customWidth="1" max="12565" min="12565" style="37" width="9.85546875"/>
    <col customWidth="1" max="12566" min="12566" style="37" width="5.5703125"/>
    <col customWidth="1" max="12567" min="12567" style="37" width="4.85546875"/>
    <col customWidth="1" max="12568" min="12568" style="37" width="13.42578125"/>
    <col customWidth="1" max="12569" min="12569" style="37" width="3.5703125"/>
    <col customWidth="1" max="12800" min="12570" style="37" width="11.42578125"/>
    <col customWidth="1" max="12801" min="12801" style="37" width="3.42578125"/>
    <col customWidth="1" max="12804" min="12802" style="37" width="11.42578125"/>
    <col customWidth="1" max="12805" min="12805" style="37" width="13.5703125"/>
    <col customWidth="1" max="12806" min="12806" style="37" width="8.5703125"/>
    <col customWidth="1" max="12807" min="12807" style="37" width="8.42578125"/>
    <col customWidth="1" max="12808" min="12808" style="37" width="3.5703125"/>
    <col customWidth="1" max="12809" min="12809" style="37" width="11.42578125"/>
    <col customWidth="1" max="12810" min="12810" style="37" width="11.140625"/>
    <col customWidth="1" max="12812" min="12811" style="37" width="7.5703125"/>
    <col customWidth="1" max="12814" min="12813" style="37" width="11.42578125"/>
    <col customWidth="1" max="12815" min="12815" style="37" width="6.85546875"/>
    <col customWidth="1" max="12816" min="12816" style="37" width="5.5703125"/>
    <col customWidth="1" max="12817" min="12817" style="37" width="4.85546875"/>
    <col customWidth="1" max="12818" min="12818" style="37" width="3.5703125"/>
    <col customWidth="1" max="12819" min="12819" style="37" width="6.5703125"/>
    <col customWidth="1" max="12820" min="12820" style="37" width="6.85546875"/>
    <col customWidth="1" max="12821" min="12821" style="37" width="9.85546875"/>
    <col customWidth="1" max="12822" min="12822" style="37" width="5.5703125"/>
    <col customWidth="1" max="12823" min="12823" style="37" width="4.85546875"/>
    <col customWidth="1" max="12824" min="12824" style="37" width="13.42578125"/>
    <col customWidth="1" max="12825" min="12825" style="37" width="3.5703125"/>
    <col customWidth="1" max="13056" min="12826" style="37" width="11.42578125"/>
    <col customWidth="1" max="13057" min="13057" style="37" width="3.42578125"/>
    <col customWidth="1" max="13060" min="13058" style="37" width="11.42578125"/>
    <col customWidth="1" max="13061" min="13061" style="37" width="13.5703125"/>
    <col customWidth="1" max="13062" min="13062" style="37" width="8.5703125"/>
    <col customWidth="1" max="13063" min="13063" style="37" width="8.42578125"/>
    <col customWidth="1" max="13064" min="13064" style="37" width="3.5703125"/>
    <col customWidth="1" max="13065" min="13065" style="37" width="11.42578125"/>
    <col customWidth="1" max="13066" min="13066" style="37" width="11.140625"/>
    <col customWidth="1" max="13068" min="13067" style="37" width="7.5703125"/>
    <col customWidth="1" max="13070" min="13069" style="37" width="11.42578125"/>
    <col customWidth="1" max="13071" min="13071" style="37" width="6.85546875"/>
    <col customWidth="1" max="13072" min="13072" style="37" width="5.5703125"/>
    <col customWidth="1" max="13073" min="13073" style="37" width="4.85546875"/>
    <col customWidth="1" max="13074" min="13074" style="37" width="3.5703125"/>
    <col customWidth="1" max="13075" min="13075" style="37" width="6.5703125"/>
    <col customWidth="1" max="13076" min="13076" style="37" width="6.85546875"/>
    <col customWidth="1" max="13077" min="13077" style="37" width="9.85546875"/>
    <col customWidth="1" max="13078" min="13078" style="37" width="5.5703125"/>
    <col customWidth="1" max="13079" min="13079" style="37" width="4.85546875"/>
    <col customWidth="1" max="13080" min="13080" style="37" width="13.42578125"/>
    <col customWidth="1" max="13081" min="13081" style="37" width="3.5703125"/>
    <col customWidth="1" max="13312" min="13082" style="37" width="11.42578125"/>
    <col customWidth="1" max="13313" min="13313" style="37" width="3.42578125"/>
    <col customWidth="1" max="13316" min="13314" style="37" width="11.42578125"/>
    <col customWidth="1" max="13317" min="13317" style="37" width="13.5703125"/>
    <col customWidth="1" max="13318" min="13318" style="37" width="8.5703125"/>
    <col customWidth="1" max="13319" min="13319" style="37" width="8.42578125"/>
    <col customWidth="1" max="13320" min="13320" style="37" width="3.5703125"/>
    <col customWidth="1" max="13321" min="13321" style="37" width="11.42578125"/>
    <col customWidth="1" max="13322" min="13322" style="37" width="11.140625"/>
    <col customWidth="1" max="13324" min="13323" style="37" width="7.5703125"/>
    <col customWidth="1" max="13326" min="13325" style="37" width="11.42578125"/>
    <col customWidth="1" max="13327" min="13327" style="37" width="6.85546875"/>
    <col customWidth="1" max="13328" min="13328" style="37" width="5.5703125"/>
    <col customWidth="1" max="13329" min="13329" style="37" width="4.85546875"/>
    <col customWidth="1" max="13330" min="13330" style="37" width="3.5703125"/>
    <col customWidth="1" max="13331" min="13331" style="37" width="6.5703125"/>
    <col customWidth="1" max="13332" min="13332" style="37" width="6.85546875"/>
    <col customWidth="1" max="13333" min="13333" style="37" width="9.85546875"/>
    <col customWidth="1" max="13334" min="13334" style="37" width="5.5703125"/>
    <col customWidth="1" max="13335" min="13335" style="37" width="4.85546875"/>
    <col customWidth="1" max="13336" min="13336" style="37" width="13.42578125"/>
    <col customWidth="1" max="13337" min="13337" style="37" width="3.5703125"/>
    <col customWidth="1" max="13568" min="13338" style="37" width="11.42578125"/>
    <col customWidth="1" max="13569" min="13569" style="37" width="3.42578125"/>
    <col customWidth="1" max="13572" min="13570" style="37" width="11.42578125"/>
    <col customWidth="1" max="13573" min="13573" style="37" width="13.5703125"/>
    <col customWidth="1" max="13574" min="13574" style="37" width="8.5703125"/>
    <col customWidth="1" max="13575" min="13575" style="37" width="8.42578125"/>
    <col customWidth="1" max="13576" min="13576" style="37" width="3.5703125"/>
    <col customWidth="1" max="13577" min="13577" style="37" width="11.42578125"/>
    <col customWidth="1" max="13578" min="13578" style="37" width="11.140625"/>
    <col customWidth="1" max="13580" min="13579" style="37" width="7.5703125"/>
    <col customWidth="1" max="13582" min="13581" style="37" width="11.42578125"/>
    <col customWidth="1" max="13583" min="13583" style="37" width="6.85546875"/>
    <col customWidth="1" max="13584" min="13584" style="37" width="5.5703125"/>
    <col customWidth="1" max="13585" min="13585" style="37" width="4.85546875"/>
    <col customWidth="1" max="13586" min="13586" style="37" width="3.5703125"/>
    <col customWidth="1" max="13587" min="13587" style="37" width="6.5703125"/>
    <col customWidth="1" max="13588" min="13588" style="37" width="6.85546875"/>
    <col customWidth="1" max="13589" min="13589" style="37" width="9.85546875"/>
    <col customWidth="1" max="13590" min="13590" style="37" width="5.5703125"/>
    <col customWidth="1" max="13591" min="13591" style="37" width="4.85546875"/>
    <col customWidth="1" max="13592" min="13592" style="37" width="13.42578125"/>
    <col customWidth="1" max="13593" min="13593" style="37" width="3.5703125"/>
    <col customWidth="1" max="13824" min="13594" style="37" width="11.42578125"/>
    <col customWidth="1" max="13825" min="13825" style="37" width="3.42578125"/>
    <col customWidth="1" max="13828" min="13826" style="37" width="11.42578125"/>
    <col customWidth="1" max="13829" min="13829" style="37" width="13.5703125"/>
    <col customWidth="1" max="13830" min="13830" style="37" width="8.5703125"/>
    <col customWidth="1" max="13831" min="13831" style="37" width="8.42578125"/>
    <col customWidth="1" max="13832" min="13832" style="37" width="3.5703125"/>
    <col customWidth="1" max="13833" min="13833" style="37" width="11.42578125"/>
    <col customWidth="1" max="13834" min="13834" style="37" width="11.140625"/>
    <col customWidth="1" max="13836" min="13835" style="37" width="7.5703125"/>
    <col customWidth="1" max="13838" min="13837" style="37" width="11.42578125"/>
    <col customWidth="1" max="13839" min="13839" style="37" width="6.85546875"/>
    <col customWidth="1" max="13840" min="13840" style="37" width="5.5703125"/>
    <col customWidth="1" max="13841" min="13841" style="37" width="4.85546875"/>
    <col customWidth="1" max="13842" min="13842" style="37" width="3.5703125"/>
    <col customWidth="1" max="13843" min="13843" style="37" width="6.5703125"/>
    <col customWidth="1" max="13844" min="13844" style="37" width="6.85546875"/>
    <col customWidth="1" max="13845" min="13845" style="37" width="9.85546875"/>
    <col customWidth="1" max="13846" min="13846" style="37" width="5.5703125"/>
    <col customWidth="1" max="13847" min="13847" style="37" width="4.85546875"/>
    <col customWidth="1" max="13848" min="13848" style="37" width="13.42578125"/>
    <col customWidth="1" max="13849" min="13849" style="37" width="3.5703125"/>
    <col customWidth="1" max="14080" min="13850" style="37" width="11.42578125"/>
    <col customWidth="1" max="14081" min="14081" style="37" width="3.42578125"/>
    <col customWidth="1" max="14084" min="14082" style="37" width="11.42578125"/>
    <col customWidth="1" max="14085" min="14085" style="37" width="13.5703125"/>
    <col customWidth="1" max="14086" min="14086" style="37" width="8.5703125"/>
    <col customWidth="1" max="14087" min="14087" style="37" width="8.42578125"/>
    <col customWidth="1" max="14088" min="14088" style="37" width="3.5703125"/>
    <col customWidth="1" max="14089" min="14089" style="37" width="11.42578125"/>
    <col customWidth="1" max="14090" min="14090" style="37" width="11.140625"/>
    <col customWidth="1" max="14092" min="14091" style="37" width="7.5703125"/>
    <col customWidth="1" max="14094" min="14093" style="37" width="11.42578125"/>
    <col customWidth="1" max="14095" min="14095" style="37" width="6.85546875"/>
    <col customWidth="1" max="14096" min="14096" style="37" width="5.5703125"/>
    <col customWidth="1" max="14097" min="14097" style="37" width="4.85546875"/>
    <col customWidth="1" max="14098" min="14098" style="37" width="3.5703125"/>
    <col customWidth="1" max="14099" min="14099" style="37" width="6.5703125"/>
    <col customWidth="1" max="14100" min="14100" style="37" width="6.85546875"/>
    <col customWidth="1" max="14101" min="14101" style="37" width="9.85546875"/>
    <col customWidth="1" max="14102" min="14102" style="37" width="5.5703125"/>
    <col customWidth="1" max="14103" min="14103" style="37" width="4.85546875"/>
    <col customWidth="1" max="14104" min="14104" style="37" width="13.42578125"/>
    <col customWidth="1" max="14105" min="14105" style="37" width="3.5703125"/>
    <col customWidth="1" max="14336" min="14106" style="37" width="11.42578125"/>
    <col customWidth="1" max="14337" min="14337" style="37" width="3.42578125"/>
    <col customWidth="1" max="14340" min="14338" style="37" width="11.42578125"/>
    <col customWidth="1" max="14341" min="14341" style="37" width="13.5703125"/>
    <col customWidth="1" max="14342" min="14342" style="37" width="8.5703125"/>
    <col customWidth="1" max="14343" min="14343" style="37" width="8.42578125"/>
    <col customWidth="1" max="14344" min="14344" style="37" width="3.5703125"/>
    <col customWidth="1" max="14345" min="14345" style="37" width="11.42578125"/>
    <col customWidth="1" max="14346" min="14346" style="37" width="11.140625"/>
    <col customWidth="1" max="14348" min="14347" style="37" width="7.5703125"/>
    <col customWidth="1" max="14350" min="14349" style="37" width="11.42578125"/>
    <col customWidth="1" max="14351" min="14351" style="37" width="6.85546875"/>
    <col customWidth="1" max="14352" min="14352" style="37" width="5.5703125"/>
    <col customWidth="1" max="14353" min="14353" style="37" width="4.85546875"/>
    <col customWidth="1" max="14354" min="14354" style="37" width="3.5703125"/>
    <col customWidth="1" max="14355" min="14355" style="37" width="6.5703125"/>
    <col customWidth="1" max="14356" min="14356" style="37" width="6.85546875"/>
    <col customWidth="1" max="14357" min="14357" style="37" width="9.85546875"/>
    <col customWidth="1" max="14358" min="14358" style="37" width="5.5703125"/>
    <col customWidth="1" max="14359" min="14359" style="37" width="4.85546875"/>
    <col customWidth="1" max="14360" min="14360" style="37" width="13.42578125"/>
    <col customWidth="1" max="14361" min="14361" style="37" width="3.5703125"/>
    <col customWidth="1" max="14592" min="14362" style="37" width="11.42578125"/>
    <col customWidth="1" max="14593" min="14593" style="37" width="3.42578125"/>
    <col customWidth="1" max="14596" min="14594" style="37" width="11.42578125"/>
    <col customWidth="1" max="14597" min="14597" style="37" width="13.5703125"/>
    <col customWidth="1" max="14598" min="14598" style="37" width="8.5703125"/>
    <col customWidth="1" max="14599" min="14599" style="37" width="8.42578125"/>
    <col customWidth="1" max="14600" min="14600" style="37" width="3.5703125"/>
    <col customWidth="1" max="14601" min="14601" style="37" width="11.42578125"/>
    <col customWidth="1" max="14602" min="14602" style="37" width="11.140625"/>
    <col customWidth="1" max="14604" min="14603" style="37" width="7.5703125"/>
    <col customWidth="1" max="14606" min="14605" style="37" width="11.42578125"/>
    <col customWidth="1" max="14607" min="14607" style="37" width="6.85546875"/>
    <col customWidth="1" max="14608" min="14608" style="37" width="5.5703125"/>
    <col customWidth="1" max="14609" min="14609" style="37" width="4.85546875"/>
    <col customWidth="1" max="14610" min="14610" style="37" width="3.5703125"/>
    <col customWidth="1" max="14611" min="14611" style="37" width="6.5703125"/>
    <col customWidth="1" max="14612" min="14612" style="37" width="6.85546875"/>
    <col customWidth="1" max="14613" min="14613" style="37" width="9.85546875"/>
    <col customWidth="1" max="14614" min="14614" style="37" width="5.5703125"/>
    <col customWidth="1" max="14615" min="14615" style="37" width="4.85546875"/>
    <col customWidth="1" max="14616" min="14616" style="37" width="13.42578125"/>
    <col customWidth="1" max="14617" min="14617" style="37" width="3.5703125"/>
    <col customWidth="1" max="14848" min="14618" style="37" width="11.42578125"/>
    <col customWidth="1" max="14849" min="14849" style="37" width="3.42578125"/>
    <col customWidth="1" max="14852" min="14850" style="37" width="11.42578125"/>
    <col customWidth="1" max="14853" min="14853" style="37" width="13.5703125"/>
    <col customWidth="1" max="14854" min="14854" style="37" width="8.5703125"/>
    <col customWidth="1" max="14855" min="14855" style="37" width="8.42578125"/>
    <col customWidth="1" max="14856" min="14856" style="37" width="3.5703125"/>
    <col customWidth="1" max="14857" min="14857" style="37" width="11.42578125"/>
    <col customWidth="1" max="14858" min="14858" style="37" width="11.140625"/>
    <col customWidth="1" max="14860" min="14859" style="37" width="7.5703125"/>
    <col customWidth="1" max="14862" min="14861" style="37" width="11.42578125"/>
    <col customWidth="1" max="14863" min="14863" style="37" width="6.85546875"/>
    <col customWidth="1" max="14864" min="14864" style="37" width="5.5703125"/>
    <col customWidth="1" max="14865" min="14865" style="37" width="4.85546875"/>
    <col customWidth="1" max="14866" min="14866" style="37" width="3.5703125"/>
    <col customWidth="1" max="14867" min="14867" style="37" width="6.5703125"/>
    <col customWidth="1" max="14868" min="14868" style="37" width="6.85546875"/>
    <col customWidth="1" max="14869" min="14869" style="37" width="9.85546875"/>
    <col customWidth="1" max="14870" min="14870" style="37" width="5.5703125"/>
    <col customWidth="1" max="14871" min="14871" style="37" width="4.85546875"/>
    <col customWidth="1" max="14872" min="14872" style="37" width="13.42578125"/>
    <col customWidth="1" max="14873" min="14873" style="37" width="3.5703125"/>
    <col customWidth="1" max="15104" min="14874" style="37" width="11.42578125"/>
    <col customWidth="1" max="15105" min="15105" style="37" width="3.42578125"/>
    <col customWidth="1" max="15108" min="15106" style="37" width="11.42578125"/>
    <col customWidth="1" max="15109" min="15109" style="37" width="13.5703125"/>
    <col customWidth="1" max="15110" min="15110" style="37" width="8.5703125"/>
    <col customWidth="1" max="15111" min="15111" style="37" width="8.42578125"/>
    <col customWidth="1" max="15112" min="15112" style="37" width="3.5703125"/>
    <col customWidth="1" max="15113" min="15113" style="37" width="11.42578125"/>
    <col customWidth="1" max="15114" min="15114" style="37" width="11.140625"/>
    <col customWidth="1" max="15116" min="15115" style="37" width="7.5703125"/>
    <col customWidth="1" max="15118" min="15117" style="37" width="11.42578125"/>
    <col customWidth="1" max="15119" min="15119" style="37" width="6.85546875"/>
    <col customWidth="1" max="15120" min="15120" style="37" width="5.5703125"/>
    <col customWidth="1" max="15121" min="15121" style="37" width="4.85546875"/>
    <col customWidth="1" max="15122" min="15122" style="37" width="3.5703125"/>
    <col customWidth="1" max="15123" min="15123" style="37" width="6.5703125"/>
    <col customWidth="1" max="15124" min="15124" style="37" width="6.85546875"/>
    <col customWidth="1" max="15125" min="15125" style="37" width="9.85546875"/>
    <col customWidth="1" max="15126" min="15126" style="37" width="5.5703125"/>
    <col customWidth="1" max="15127" min="15127" style="37" width="4.85546875"/>
    <col customWidth="1" max="15128" min="15128" style="37" width="13.42578125"/>
    <col customWidth="1" max="15129" min="15129" style="37" width="3.5703125"/>
    <col customWidth="1" max="15360" min="15130" style="37" width="11.42578125"/>
    <col customWidth="1" max="15361" min="15361" style="37" width="3.42578125"/>
    <col customWidth="1" max="15364" min="15362" style="37" width="11.42578125"/>
    <col customWidth="1" max="15365" min="15365" style="37" width="13.5703125"/>
    <col customWidth="1" max="15366" min="15366" style="37" width="8.5703125"/>
    <col customWidth="1" max="15367" min="15367" style="37" width="8.42578125"/>
    <col customWidth="1" max="15368" min="15368" style="37" width="3.5703125"/>
    <col customWidth="1" max="15369" min="15369" style="37" width="11.42578125"/>
    <col customWidth="1" max="15370" min="15370" style="37" width="11.140625"/>
    <col customWidth="1" max="15372" min="15371" style="37" width="7.5703125"/>
    <col customWidth="1" max="15374" min="15373" style="37" width="11.42578125"/>
    <col customWidth="1" max="15375" min="15375" style="37" width="6.85546875"/>
    <col customWidth="1" max="15376" min="15376" style="37" width="5.5703125"/>
    <col customWidth="1" max="15377" min="15377" style="37" width="4.85546875"/>
    <col customWidth="1" max="15378" min="15378" style="37" width="3.5703125"/>
    <col customWidth="1" max="15379" min="15379" style="37" width="6.5703125"/>
    <col customWidth="1" max="15380" min="15380" style="37" width="6.85546875"/>
    <col customWidth="1" max="15381" min="15381" style="37" width="9.85546875"/>
    <col customWidth="1" max="15382" min="15382" style="37" width="5.5703125"/>
    <col customWidth="1" max="15383" min="15383" style="37" width="4.85546875"/>
    <col customWidth="1" max="15384" min="15384" style="37" width="13.42578125"/>
    <col customWidth="1" max="15385" min="15385" style="37" width="3.5703125"/>
    <col customWidth="1" max="15616" min="15386" style="37" width="11.42578125"/>
    <col customWidth="1" max="15617" min="15617" style="37" width="3.42578125"/>
    <col customWidth="1" max="15620" min="15618" style="37" width="11.42578125"/>
    <col customWidth="1" max="15621" min="15621" style="37" width="13.5703125"/>
    <col customWidth="1" max="15622" min="15622" style="37" width="8.5703125"/>
    <col customWidth="1" max="15623" min="15623" style="37" width="8.42578125"/>
    <col customWidth="1" max="15624" min="15624" style="37" width="3.5703125"/>
    <col customWidth="1" max="15625" min="15625" style="37" width="11.42578125"/>
    <col customWidth="1" max="15626" min="15626" style="37" width="11.140625"/>
    <col customWidth="1" max="15628" min="15627" style="37" width="7.5703125"/>
    <col customWidth="1" max="15630" min="15629" style="37" width="11.42578125"/>
    <col customWidth="1" max="15631" min="15631" style="37" width="6.85546875"/>
    <col customWidth="1" max="15632" min="15632" style="37" width="5.5703125"/>
    <col customWidth="1" max="15633" min="15633" style="37" width="4.85546875"/>
    <col customWidth="1" max="15634" min="15634" style="37" width="3.5703125"/>
    <col customWidth="1" max="15635" min="15635" style="37" width="6.5703125"/>
    <col customWidth="1" max="15636" min="15636" style="37" width="6.85546875"/>
    <col customWidth="1" max="15637" min="15637" style="37" width="9.85546875"/>
    <col customWidth="1" max="15638" min="15638" style="37" width="5.5703125"/>
    <col customWidth="1" max="15639" min="15639" style="37" width="4.85546875"/>
    <col customWidth="1" max="15640" min="15640" style="37" width="13.42578125"/>
    <col customWidth="1" max="15641" min="15641" style="37" width="3.5703125"/>
    <col customWidth="1" max="15872" min="15642" style="37" width="11.42578125"/>
    <col customWidth="1" max="15873" min="15873" style="37" width="3.42578125"/>
    <col customWidth="1" max="15876" min="15874" style="37" width="11.42578125"/>
    <col customWidth="1" max="15877" min="15877" style="37" width="13.5703125"/>
    <col customWidth="1" max="15878" min="15878" style="37" width="8.5703125"/>
    <col customWidth="1" max="15879" min="15879" style="37" width="8.42578125"/>
    <col customWidth="1" max="15880" min="15880" style="37" width="3.5703125"/>
    <col customWidth="1" max="15881" min="15881" style="37" width="11.42578125"/>
    <col customWidth="1" max="15882" min="15882" style="37" width="11.140625"/>
    <col customWidth="1" max="15884" min="15883" style="37" width="7.5703125"/>
    <col customWidth="1" max="15886" min="15885" style="37" width="11.42578125"/>
    <col customWidth="1" max="15887" min="15887" style="37" width="6.85546875"/>
    <col customWidth="1" max="15888" min="15888" style="37" width="5.5703125"/>
    <col customWidth="1" max="15889" min="15889" style="37" width="4.85546875"/>
    <col customWidth="1" max="15890" min="15890" style="37" width="3.5703125"/>
    <col customWidth="1" max="15891" min="15891" style="37" width="6.5703125"/>
    <col customWidth="1" max="15892" min="15892" style="37" width="6.85546875"/>
    <col customWidth="1" max="15893" min="15893" style="37" width="9.85546875"/>
    <col customWidth="1" max="15894" min="15894" style="37" width="5.5703125"/>
    <col customWidth="1" max="15895" min="15895" style="37" width="4.85546875"/>
    <col customWidth="1" max="15896" min="15896" style="37" width="13.42578125"/>
    <col customWidth="1" max="15897" min="15897" style="37" width="3.5703125"/>
    <col customWidth="1" max="16128" min="15898" style="37" width="11.42578125"/>
    <col customWidth="1" max="16129" min="16129" style="37" width="3.42578125"/>
    <col customWidth="1" max="16132" min="16130" style="37" width="11.42578125"/>
    <col customWidth="1" max="16133" min="16133" style="37" width="13.5703125"/>
    <col customWidth="1" max="16134" min="16134" style="37" width="8.5703125"/>
    <col customWidth="1" max="16135" min="16135" style="37" width="8.42578125"/>
    <col customWidth="1" max="16136" min="16136" style="37" width="3.5703125"/>
    <col customWidth="1" max="16137" min="16137" style="37" width="11.42578125"/>
    <col customWidth="1" max="16138" min="16138" style="37" width="11.140625"/>
    <col customWidth="1" max="16140" min="16139" style="37" width="7.5703125"/>
    <col customWidth="1" max="16142" min="16141" style="37" width="11.42578125"/>
    <col customWidth="1" max="16143" min="16143" style="37" width="6.85546875"/>
    <col customWidth="1" max="16144" min="16144" style="37" width="5.5703125"/>
    <col customWidth="1" max="16145" min="16145" style="37" width="4.85546875"/>
    <col customWidth="1" max="16146" min="16146" style="37" width="3.5703125"/>
    <col customWidth="1" max="16147" min="16147" style="37" width="6.5703125"/>
    <col customWidth="1" max="16148" min="16148" style="37" width="6.85546875"/>
    <col customWidth="1" max="16149" min="16149" style="37" width="9.85546875"/>
    <col customWidth="1" max="16150" min="16150" style="37" width="5.5703125"/>
    <col customWidth="1" max="16151" min="16151" style="37" width="4.85546875"/>
    <col customWidth="1" max="16152" min="16152" style="37" width="13.42578125"/>
    <col customWidth="1" max="16153" min="16153" style="37" width="3.5703125"/>
    <col customWidth="1" max="16384" min="16154" style="37" width="11.42578125"/>
  </cols>
  <sheetData>
    <row customHeight="1" ht="27.75" r="2">
      <c r="B2" s="55" t="inlineStr">
        <is>
          <t>SISTEMA ELÉCTRICO - SET PEDREGAL</t>
        </is>
      </c>
      <c r="AB2" s="55" t="inlineStr">
        <is>
          <t>SISTEMA ELÉCTRICO - SET EL CARMEN</t>
        </is>
      </c>
    </row>
    <row customFormat="1" customHeight="1" ht="9.949999999999999" r="3" s="110">
      <c r="X3" s="124" t="n"/>
      <c r="Y3" s="124" t="n"/>
      <c r="AX3" s="124" t="n"/>
    </row>
    <row customHeight="1" ht="18" r="4">
      <c r="B4" s="56" t="n"/>
      <c r="AB4" s="56" t="n"/>
    </row>
    <row customHeight="1" ht="19.5" r="5"/>
    <row customHeight="1" ht="15.75" r="6">
      <c r="B6" s="453" t="n"/>
      <c r="C6" s="454" t="n"/>
      <c r="D6" s="454" t="n"/>
      <c r="E6" s="454" t="n"/>
      <c r="F6" s="454" t="n"/>
      <c r="G6" s="454" t="n"/>
      <c r="H6" s="454" t="n"/>
      <c r="I6" s="454" t="n"/>
      <c r="J6" s="454" t="n"/>
      <c r="K6" s="454" t="n"/>
      <c r="L6" s="454" t="n"/>
      <c r="M6" s="454" t="n"/>
      <c r="N6" s="454" t="n"/>
      <c r="O6" s="454" t="n"/>
      <c r="P6" s="454" t="n"/>
      <c r="Q6" s="454" t="n"/>
      <c r="R6" s="454" t="n"/>
      <c r="S6" s="454" t="n"/>
      <c r="T6" s="454" t="n"/>
      <c r="U6" s="454" t="n"/>
      <c r="V6" s="454" t="n"/>
      <c r="W6" s="454" t="n"/>
      <c r="X6" s="455" t="n"/>
      <c r="AB6" s="453" t="n"/>
      <c r="AC6" s="454" t="n"/>
      <c r="AD6" s="454" t="n"/>
      <c r="AE6" s="454" t="n"/>
      <c r="AF6" s="454" t="n"/>
      <c r="AG6" s="454" t="n"/>
      <c r="AH6" s="454" t="n"/>
      <c r="AI6" s="454" t="n"/>
      <c r="AJ6" s="454" t="n"/>
      <c r="AK6" s="454" t="n"/>
      <c r="AL6" s="454" t="n"/>
      <c r="AM6" s="454" t="n"/>
      <c r="AN6" s="454" t="n"/>
      <c r="AO6" s="454" t="n"/>
      <c r="AP6" s="454" t="n"/>
      <c r="AQ6" s="454" t="n"/>
      <c r="AR6" s="454" t="n"/>
      <c r="AS6" s="454" t="n"/>
      <c r="AT6" s="454" t="n"/>
      <c r="AU6" s="454" t="n"/>
      <c r="AV6" s="454" t="n"/>
      <c r="AW6" s="454" t="n"/>
      <c r="AX6" s="455" t="n"/>
    </row>
    <row customHeight="1" ht="23.25" r="7">
      <c r="B7" s="57" t="inlineStr">
        <is>
          <t>(CONFIGURACION ACTUAL SET PEDREGAL)</t>
        </is>
      </c>
      <c r="C7" s="58" t="n"/>
      <c r="D7" s="59" t="n"/>
      <c r="E7" s="59" t="n"/>
      <c r="F7" s="59" t="n"/>
      <c r="G7" s="59" t="n"/>
      <c r="H7" s="59" t="n"/>
      <c r="I7" s="60" t="n"/>
      <c r="J7" s="60" t="n"/>
      <c r="K7" s="60" t="n"/>
      <c r="L7" s="60" t="n"/>
      <c r="M7" s="60" t="n"/>
      <c r="N7" s="60" t="n"/>
      <c r="O7" s="60" t="n"/>
      <c r="P7" s="60" t="n"/>
      <c r="Q7" s="60" t="n"/>
      <c r="R7" s="60" t="n"/>
      <c r="S7" s="60" t="n"/>
      <c r="T7" s="60" t="n"/>
      <c r="U7" s="60" t="n"/>
      <c r="V7" s="60" t="n"/>
      <c r="W7" s="60" t="n"/>
      <c r="X7" s="61" t="n"/>
      <c r="Y7" s="62" t="n"/>
      <c r="AB7" s="57" t="inlineStr">
        <is>
          <t>(CONFIGURACION ACTUAL SET EL CARMEN)</t>
        </is>
      </c>
      <c r="AC7" s="58" t="n"/>
      <c r="AD7" s="59" t="n"/>
      <c r="AE7" s="59" t="n"/>
      <c r="AF7" s="59" t="n"/>
      <c r="AG7" s="59" t="n"/>
      <c r="AH7" s="59" t="n"/>
      <c r="AI7" s="60" t="n"/>
      <c r="AJ7" s="60" t="n"/>
      <c r="AK7" s="60" t="n"/>
      <c r="AL7" s="60" t="n"/>
      <c r="AM7" s="60" t="n"/>
      <c r="AN7" s="60" t="n"/>
      <c r="AO7" s="60" t="n"/>
      <c r="AP7" s="60" t="n"/>
      <c r="AQ7" s="60" t="n"/>
      <c r="AR7" s="60" t="n"/>
      <c r="AS7" s="60" t="n"/>
      <c r="AT7" s="60" t="n"/>
      <c r="AU7" s="60" t="n"/>
      <c r="AV7" s="60" t="n"/>
      <c r="AW7" s="60" t="n"/>
      <c r="AX7" s="61" t="n"/>
    </row>
    <row customHeight="1" ht="23.25" r="8">
      <c r="B8" s="57" t="inlineStr">
        <is>
          <t>EPOCAS DE ALTO CONSUMO</t>
        </is>
      </c>
      <c r="C8" s="58" t="n"/>
      <c r="D8" s="59" t="n"/>
      <c r="E8" s="59" t="n"/>
      <c r="F8" s="59" t="n"/>
      <c r="G8" s="59" t="n"/>
      <c r="H8" s="59" t="n"/>
      <c r="I8" s="60" t="n"/>
      <c r="J8" s="60" t="n"/>
      <c r="K8" s="60" t="n"/>
      <c r="L8" s="60" t="n"/>
      <c r="M8" s="60" t="n"/>
      <c r="N8" s="60" t="n"/>
      <c r="O8" s="60" t="n"/>
      <c r="P8" s="60" t="n"/>
      <c r="Q8" s="60" t="n"/>
      <c r="R8" s="60" t="n"/>
      <c r="S8" s="60" t="n"/>
      <c r="T8" s="60" t="n"/>
      <c r="U8" s="60" t="n"/>
      <c r="V8" s="60" t="n"/>
      <c r="W8" s="60" t="n"/>
      <c r="X8" s="61" t="n"/>
      <c r="Y8" s="62" t="n"/>
      <c r="AB8" s="57" t="inlineStr">
        <is>
          <t>EPOCAS DE ALTO CONSUMO</t>
        </is>
      </c>
      <c r="AC8" s="58" t="n"/>
      <c r="AD8" s="59" t="n"/>
      <c r="AE8" s="59" t="n"/>
      <c r="AF8" s="59" t="n"/>
      <c r="AG8" s="59" t="n"/>
      <c r="AH8" s="59" t="n"/>
      <c r="AI8" s="60" t="n"/>
      <c r="AJ8" s="60" t="n"/>
      <c r="AK8" s="60" t="n"/>
      <c r="AL8" s="60" t="n"/>
      <c r="AM8" s="60" t="n"/>
      <c r="AN8" s="60" t="n"/>
      <c r="AO8" s="60" t="n"/>
      <c r="AP8" s="60" t="n"/>
      <c r="AQ8" s="60" t="n"/>
      <c r="AR8" s="60" t="n"/>
      <c r="AS8" s="60" t="n"/>
      <c r="AT8" s="60" t="n"/>
      <c r="AU8" s="60" t="n"/>
      <c r="AV8" s="60" t="n"/>
      <c r="AW8" s="60" t="n"/>
      <c r="AX8" s="61" t="n"/>
    </row>
    <row r="9">
      <c r="B9" s="63" t="n"/>
      <c r="E9" s="64" t="n"/>
      <c r="F9" s="64" t="n"/>
      <c r="G9" s="64" t="n"/>
      <c r="H9" s="64" t="n"/>
      <c r="I9" s="65" t="n"/>
      <c r="X9" s="66" t="n"/>
      <c r="AB9" s="63" t="n"/>
      <c r="AE9" s="64" t="n"/>
      <c r="AF9" s="64" t="n"/>
      <c r="AG9" s="64" t="n"/>
      <c r="AH9" s="64" t="n"/>
      <c r="AI9" s="65" t="n"/>
      <c r="AX9" s="66" t="n"/>
    </row>
    <row r="10">
      <c r="B10" s="63" t="n"/>
      <c r="S10" s="53" t="n"/>
      <c r="V10" s="53" t="n"/>
      <c r="X10" s="66" t="n"/>
      <c r="AB10" s="63" t="n"/>
      <c r="AS10" s="53" t="n"/>
      <c r="AV10" s="53" t="n"/>
      <c r="AX10" s="66" t="n"/>
    </row>
    <row customHeight="1" ht="15" r="11">
      <c r="B11" s="63" t="n"/>
      <c r="E11" s="120" t="inlineStr">
        <is>
          <t>TRAFO 01</t>
        </is>
      </c>
      <c r="H11" s="64" t="n"/>
      <c r="I11" s="570" t="inlineStr">
        <is>
          <t>60/10 KV</t>
        </is>
      </c>
      <c r="O11" s="52" t="n"/>
      <c r="P11" s="72" t="n"/>
      <c r="T11" s="53" t="n"/>
      <c r="X11" s="66" t="n"/>
      <c r="AB11" s="63" t="n"/>
      <c r="AE11" s="120" t="inlineStr">
        <is>
          <t>TRAFO 01</t>
        </is>
      </c>
      <c r="AH11" s="64" t="n"/>
      <c r="AI11" s="570" t="inlineStr">
        <is>
          <t>60/10 KV</t>
        </is>
      </c>
      <c r="AO11" s="52" t="n"/>
      <c r="AP11" s="72" t="n"/>
      <c r="AT11" s="53" t="n"/>
      <c r="AX11" s="66" t="n"/>
    </row>
    <row r="12">
      <c r="B12" s="63" t="n"/>
      <c r="E12" s="64" t="n"/>
      <c r="I12" s="65" t="n"/>
      <c r="M12" s="73" t="n"/>
      <c r="O12" s="456" t="n"/>
      <c r="P12" s="72" t="n"/>
      <c r="T12" s="53" t="n"/>
      <c r="V12" s="53" t="n"/>
      <c r="X12" s="66" t="n"/>
      <c r="AB12" s="63" t="n"/>
      <c r="AE12" s="64" t="n"/>
      <c r="AI12" s="65" t="n"/>
      <c r="AM12" s="73" t="n"/>
      <c r="AO12" s="456" t="n"/>
      <c r="AP12" s="72" t="n"/>
      <c r="AT12" s="53" t="n"/>
      <c r="AV12" s="53" t="n"/>
      <c r="AX12" s="66" t="n"/>
    </row>
    <row customHeight="1" ht="15.75" r="13">
      <c r="B13" s="63" t="n"/>
      <c r="E13" s="45" t="inlineStr">
        <is>
          <t>Pot. Inst.</t>
        </is>
      </c>
      <c r="F13" s="67" t="n"/>
      <c r="I13" s="119" t="n">
        <v>25</v>
      </c>
      <c r="J13" s="67" t="n">
        <v>31.25</v>
      </c>
      <c r="K13" s="67" t="inlineStr">
        <is>
          <t>MVA ONAF</t>
        </is>
      </c>
      <c r="T13" s="53" t="n"/>
      <c r="V13" s="53" t="n"/>
      <c r="X13" s="66" t="n"/>
      <c r="AB13" s="63" t="n"/>
      <c r="AE13" s="45" t="inlineStr">
        <is>
          <t>Pot. Inst.</t>
        </is>
      </c>
      <c r="AF13" s="67" t="n"/>
      <c r="AI13" s="119" t="n">
        <v>7</v>
      </c>
      <c r="AJ13" s="67" t="n">
        <v>8.4</v>
      </c>
      <c r="AK13" s="67" t="inlineStr">
        <is>
          <t>MVA ONAF</t>
        </is>
      </c>
      <c r="AT13" s="53" t="n"/>
      <c r="AV13" s="53" t="n"/>
      <c r="AX13" s="66" t="n"/>
    </row>
    <row customHeight="1" ht="15.75" r="14">
      <c r="B14" s="63" t="n"/>
      <c r="E14" s="45" t="inlineStr">
        <is>
          <t>Demanda</t>
        </is>
      </c>
      <c r="I14" s="569">
        <f>F22&amp;" / "&amp;L22&amp;" MVA"</f>
        <v/>
      </c>
      <c r="T14" s="53" t="n"/>
      <c r="V14" s="53" t="n"/>
      <c r="X14" s="66" t="n"/>
      <c r="AB14" s="63" t="n"/>
      <c r="AE14" s="45" t="inlineStr">
        <is>
          <t>Demanda</t>
        </is>
      </c>
      <c r="AF14" s="68" t="n"/>
      <c r="AI14" s="569">
        <f>AF22&amp;" / "&amp;AL22&amp;" MVA"</f>
        <v/>
      </c>
      <c r="AT14" s="53" t="n"/>
      <c r="AV14" s="53" t="n"/>
      <c r="AX14" s="66" t="n"/>
    </row>
    <row r="15">
      <c r="B15" s="63" t="n"/>
      <c r="T15" s="53" t="n"/>
      <c r="X15" s="66" t="n"/>
      <c r="AB15" s="63" t="n"/>
      <c r="AT15" s="53" t="n"/>
      <c r="AX15" s="66" t="n"/>
    </row>
    <row r="16">
      <c r="B16" s="63" t="n"/>
      <c r="M16" s="52" t="n"/>
      <c r="Q16" s="53" t="n"/>
      <c r="V16" s="53" t="n"/>
      <c r="X16" s="66" t="n"/>
      <c r="AB16" s="63" t="n"/>
      <c r="AM16" s="52" t="n"/>
      <c r="AQ16" s="53" t="n"/>
      <c r="AV16" s="53" t="n"/>
      <c r="AX16" s="66" t="n"/>
    </row>
    <row r="17">
      <c r="B17" s="63" t="n"/>
      <c r="M17" s="52" t="n"/>
      <c r="P17" s="76" t="inlineStr">
        <is>
          <t>PE101</t>
        </is>
      </c>
      <c r="Q17" s="457" t="n">
        <v>6.655</v>
      </c>
      <c r="R17" s="458" t="inlineStr">
        <is>
          <t>MW</t>
        </is>
      </c>
      <c r="T17" s="457" t="n">
        <v>2.268</v>
      </c>
      <c r="U17" s="458" t="inlineStr">
        <is>
          <t>MVAR</t>
        </is>
      </c>
      <c r="V17" s="53" t="n"/>
      <c r="X17" s="66" t="n"/>
      <c r="AB17" s="63" t="n"/>
      <c r="AM17" s="52" t="n"/>
      <c r="AP17" s="76" t="inlineStr">
        <is>
          <t>CA101</t>
        </is>
      </c>
      <c r="AQ17" s="457" t="n">
        <v>4.724</v>
      </c>
      <c r="AR17" s="458" t="inlineStr">
        <is>
          <t>MW</t>
        </is>
      </c>
      <c r="AT17" s="457" t="n">
        <v>1.052</v>
      </c>
      <c r="AU17" s="458" t="inlineStr">
        <is>
          <t>MVAR</t>
        </is>
      </c>
      <c r="AV17" s="53" t="n"/>
      <c r="AX17" s="66" t="n"/>
    </row>
    <row r="18">
      <c r="B18" s="74" t="n"/>
      <c r="C18" s="75" t="n"/>
      <c r="P18" s="76" t="n"/>
      <c r="V18" s="53" t="n"/>
      <c r="X18" s="66" t="n"/>
      <c r="AB18" s="74" t="n"/>
      <c r="AC18" s="75" t="n"/>
      <c r="AP18" s="76" t="n"/>
      <c r="AV18" s="53" t="n"/>
      <c r="AX18" s="66" t="n"/>
    </row>
    <row r="19">
      <c r="B19" s="63" t="n"/>
      <c r="P19" s="76" t="inlineStr">
        <is>
          <t>PE102</t>
        </is>
      </c>
      <c r="Q19" s="457" t="n">
        <v>7.542</v>
      </c>
      <c r="R19" s="458" t="inlineStr">
        <is>
          <t>MW</t>
        </is>
      </c>
      <c r="T19" s="457" t="n">
        <v>2.563</v>
      </c>
      <c r="U19" s="458" t="inlineStr">
        <is>
          <t>MVAR</t>
        </is>
      </c>
      <c r="V19" s="53" t="n"/>
      <c r="X19" s="66" t="n"/>
      <c r="AB19" s="63" t="n"/>
      <c r="AP19" s="76" t="n"/>
      <c r="AQ19" s="457" t="n">
        <v>0</v>
      </c>
      <c r="AR19" s="458" t="inlineStr">
        <is>
          <t>MW</t>
        </is>
      </c>
      <c r="AT19" s="457" t="n"/>
      <c r="AU19" s="458" t="inlineStr">
        <is>
          <t>MVAR</t>
        </is>
      </c>
      <c r="AV19" s="53" t="n"/>
      <c r="AX19" s="66" t="n"/>
    </row>
    <row r="20">
      <c r="B20" s="63" t="n"/>
      <c r="P20" s="76" t="n"/>
      <c r="Q20" s="69" t="n"/>
      <c r="T20" s="69" t="n"/>
      <c r="V20" s="53" t="n"/>
      <c r="X20" s="66" t="n"/>
      <c r="AB20" s="63" t="n"/>
      <c r="AP20" s="76" t="n"/>
      <c r="AQ20" s="69" t="n"/>
      <c r="AT20" s="69" t="n"/>
      <c r="AV20" s="53" t="n"/>
      <c r="AX20" s="66" t="n"/>
    </row>
    <row r="21">
      <c r="B21" s="63" t="n"/>
      <c r="F21" s="459" t="n">
        <v>20.728</v>
      </c>
      <c r="G21" s="460" t="inlineStr">
        <is>
          <t>MW</t>
        </is>
      </c>
      <c r="L21" s="461" t="n">
        <v>20.945</v>
      </c>
      <c r="M21" s="462" t="inlineStr">
        <is>
          <t>MW</t>
        </is>
      </c>
      <c r="P21" s="76" t="inlineStr">
        <is>
          <t>PE103</t>
        </is>
      </c>
      <c r="Q21" s="463" t="n">
        <v>3.583</v>
      </c>
      <c r="R21" s="464" t="inlineStr">
        <is>
          <t>MW</t>
        </is>
      </c>
      <c r="T21" s="465" t="n">
        <v>0.508</v>
      </c>
      <c r="U21" s="458" t="inlineStr">
        <is>
          <t>MVAR</t>
        </is>
      </c>
      <c r="X21" s="66" t="n"/>
      <c r="AB21" s="63" t="n"/>
      <c r="AF21" s="459" t="n">
        <v>8.6023</v>
      </c>
      <c r="AG21" s="460" t="inlineStr">
        <is>
          <t>MW</t>
        </is>
      </c>
      <c r="AL21" s="461" t="n">
        <v>8.567</v>
      </c>
      <c r="AM21" s="462" t="inlineStr">
        <is>
          <t>MW</t>
        </is>
      </c>
      <c r="AP21" s="123" t="inlineStr">
        <is>
          <t>CA103</t>
        </is>
      </c>
      <c r="AQ21" s="465" t="inlineStr">
        <is>
          <t>RESERVA</t>
        </is>
      </c>
      <c r="AR21" s="464" t="inlineStr">
        <is>
          <t>MW</t>
        </is>
      </c>
      <c r="AT21" s="466" t="inlineStr">
        <is>
          <t>RESERVA</t>
        </is>
      </c>
      <c r="AU21" s="458" t="inlineStr">
        <is>
          <t>MVAR</t>
        </is>
      </c>
      <c r="AX21" s="66" t="n"/>
    </row>
    <row customHeight="1" ht="12" r="22">
      <c r="B22" s="63" t="n"/>
      <c r="F22" s="70">
        <f>+ROUND(SQRT(POWER(F21,2)+POWER(F23,2)),2)</f>
        <v/>
      </c>
      <c r="G22" s="71" t="inlineStr">
        <is>
          <t>MVA</t>
        </is>
      </c>
      <c r="L22" s="70">
        <f>+ROUND(SQRT(POWER(L21,2)+POWER(L23,2)),2)</f>
        <v/>
      </c>
      <c r="M22" s="71" t="inlineStr">
        <is>
          <t>MVA</t>
        </is>
      </c>
      <c r="P22" s="76" t="n"/>
      <c r="V22" s="53" t="n"/>
      <c r="X22" s="66" t="n"/>
      <c r="AB22" s="63" t="n"/>
      <c r="AF22" s="70">
        <f>+ROUND(SQRT(POWER(AF21,2)+POWER(AF23,2)),2)</f>
        <v/>
      </c>
      <c r="AG22" s="71" t="inlineStr">
        <is>
          <t>MVA</t>
        </is>
      </c>
      <c r="AL22" s="70">
        <f>+ROUND(SQRT(POWER(AL21,2)+POWER(AL23,2)),2)</f>
        <v/>
      </c>
      <c r="AM22" s="71" t="inlineStr">
        <is>
          <t>MVA</t>
        </is>
      </c>
      <c r="AP22" s="76" t="n"/>
      <c r="AV22" s="53" t="n"/>
      <c r="AX22" s="66" t="n"/>
    </row>
    <row customHeight="1" ht="12" r="23">
      <c r="B23" s="63" t="n"/>
      <c r="F23" s="459" t="n">
        <v>7.481</v>
      </c>
      <c r="G23" s="460" t="inlineStr">
        <is>
          <t>MVAR</t>
        </is>
      </c>
      <c r="L23" s="461" t="n">
        <v>6.128</v>
      </c>
      <c r="M23" s="462" t="inlineStr">
        <is>
          <t>MVAR</t>
        </is>
      </c>
      <c r="O23" s="52" t="n"/>
      <c r="P23" s="76" t="inlineStr">
        <is>
          <t>PE104</t>
        </is>
      </c>
      <c r="Q23" s="463" t="n">
        <v>6.051</v>
      </c>
      <c r="R23" s="464" t="inlineStr">
        <is>
          <t>MW</t>
        </is>
      </c>
      <c r="T23" s="463" t="n">
        <v>2.236</v>
      </c>
      <c r="U23" s="458" t="inlineStr">
        <is>
          <t>MVAR</t>
        </is>
      </c>
      <c r="X23" s="66" t="n"/>
      <c r="AB23" s="63" t="n"/>
      <c r="AF23" s="459" t="n">
        <v>2.2964</v>
      </c>
      <c r="AG23" s="460" t="inlineStr">
        <is>
          <t>MVAR</t>
        </is>
      </c>
      <c r="AL23" s="461" t="n">
        <v>1.142</v>
      </c>
      <c r="AM23" s="462" t="inlineStr">
        <is>
          <t>MVAR</t>
        </is>
      </c>
      <c r="AO23" s="52" t="n"/>
      <c r="AP23" s="76" t="inlineStr">
        <is>
          <t>CA104</t>
        </is>
      </c>
      <c r="AQ23" s="463" t="n">
        <v>1.471</v>
      </c>
      <c r="AR23" s="464" t="inlineStr">
        <is>
          <t>MW</t>
        </is>
      </c>
      <c r="AT23" s="463" t="n">
        <v>0.843</v>
      </c>
      <c r="AU23" s="458" t="inlineStr">
        <is>
          <t>MVAR</t>
        </is>
      </c>
      <c r="AX23" s="66" t="n"/>
    </row>
    <row customHeight="1" ht="12" r="24">
      <c r="B24" s="63" t="n"/>
      <c r="F24" s="118">
        <f>+F22/$J$13</f>
        <v/>
      </c>
      <c r="G24" s="467" t="inlineStr">
        <is>
          <t>:FU</t>
        </is>
      </c>
      <c r="H24" s="45" t="n"/>
      <c r="L24" s="118">
        <f>+L22/$J$13</f>
        <v/>
      </c>
      <c r="M24" s="467" t="inlineStr">
        <is>
          <t>:FU</t>
        </is>
      </c>
      <c r="Q24" s="53" t="n"/>
      <c r="T24" s="53" t="n"/>
      <c r="V24" s="53" t="n"/>
      <c r="X24" s="66" t="n"/>
      <c r="AB24" s="63" t="n"/>
      <c r="AF24" s="118">
        <f>+AF22/$AJ$13</f>
        <v/>
      </c>
      <c r="AG24" s="467" t="inlineStr">
        <is>
          <t>:FU</t>
        </is>
      </c>
      <c r="AH24" s="45" t="n"/>
      <c r="AL24" s="118">
        <f>+AL22/$AJ$13</f>
        <v/>
      </c>
      <c r="AM24" s="467" t="inlineStr">
        <is>
          <t>:FU</t>
        </is>
      </c>
      <c r="AQ24" s="53" t="n"/>
      <c r="AT24" s="53" t="n"/>
      <c r="AV24" s="53" t="n"/>
      <c r="AX24" s="66" t="n"/>
    </row>
    <row customHeight="1" ht="12" r="25">
      <c r="B25" s="63" t="n"/>
      <c r="F25" s="468" t="n"/>
      <c r="G25" s="45" t="n"/>
      <c r="H25" s="45" t="n"/>
      <c r="L25" s="468" t="n"/>
      <c r="O25" s="52" t="n"/>
      <c r="P25" s="76" t="inlineStr">
        <is>
          <t>PE105</t>
        </is>
      </c>
      <c r="Q25" s="463" t="n">
        <v>3.037</v>
      </c>
      <c r="R25" s="464" t="inlineStr">
        <is>
          <t>MW</t>
        </is>
      </c>
      <c r="T25" s="463" t="n">
        <v>-0.155</v>
      </c>
      <c r="U25" s="458" t="inlineStr">
        <is>
          <t>MVAR</t>
        </is>
      </c>
      <c r="X25" s="66" t="n"/>
      <c r="AB25" s="63" t="n"/>
      <c r="AF25" s="468" t="inlineStr">
        <is>
          <t>22/10/2019  09:15:00</t>
        </is>
      </c>
      <c r="AG25" s="45" t="n"/>
      <c r="AH25" s="45" t="n"/>
      <c r="AL25" s="468" t="inlineStr">
        <is>
          <t>22/10/2019  09:15:00</t>
        </is>
      </c>
      <c r="AO25" s="52" t="n"/>
      <c r="AP25" s="76" t="inlineStr">
        <is>
          <t>CA105</t>
        </is>
      </c>
      <c r="AQ25" s="463" t="n">
        <v>4.679</v>
      </c>
      <c r="AR25" s="464" t="inlineStr">
        <is>
          <t>MW</t>
        </is>
      </c>
      <c r="AT25" s="463" t="n">
        <v>0.788</v>
      </c>
      <c r="AU25" s="458" t="inlineStr">
        <is>
          <t>MVAR</t>
        </is>
      </c>
      <c r="AX25" s="66" t="n"/>
    </row>
    <row customHeight="1" ht="12" r="26">
      <c r="B26" s="63" t="n"/>
      <c r="E26" s="45" t="n"/>
      <c r="F26" s="45" t="n"/>
      <c r="G26" s="45" t="n"/>
      <c r="H26" s="45" t="n"/>
      <c r="I26" s="77" t="n"/>
      <c r="X26" s="66" t="n"/>
      <c r="AB26" s="63" t="n"/>
      <c r="AE26" s="45" t="n"/>
      <c r="AF26" s="45" t="n"/>
      <c r="AG26" s="45" t="n"/>
      <c r="AH26" s="45" t="n"/>
      <c r="AI26" s="77" t="n"/>
      <c r="AX26" s="66" t="n"/>
    </row>
    <row customHeight="1" ht="12" r="27">
      <c r="B27" s="63" t="n"/>
      <c r="X27" s="66" t="n"/>
      <c r="AB27" s="63" t="n"/>
      <c r="AX27" s="66" t="n"/>
    </row>
    <row customHeight="1" ht="12" r="28">
      <c r="B28" s="63" t="n"/>
      <c r="X28" s="66" t="n"/>
      <c r="AB28" s="63" t="n"/>
      <c r="AX28" s="66" t="n"/>
    </row>
    <row r="29">
      <c r="B29" s="63" t="n"/>
      <c r="X29" s="66" t="n"/>
      <c r="AB29" s="63" t="n"/>
      <c r="AX29" s="66" t="n"/>
    </row>
    <row r="30">
      <c r="B30" s="63" t="n"/>
      <c r="X30" s="66" t="n"/>
      <c r="AB30" s="63" t="n"/>
      <c r="AX30" s="66" t="n"/>
    </row>
    <row r="31">
      <c r="B31" s="63" t="n"/>
      <c r="X31" s="66" t="n"/>
      <c r="AB31" s="63" t="n"/>
      <c r="AX31" s="66" t="n"/>
    </row>
    <row r="32">
      <c r="B32" s="63" t="n"/>
      <c r="N32" s="456" t="inlineStr">
        <is>
          <t>F.Coinc:</t>
        </is>
      </c>
      <c r="O32" s="122">
        <f>+L21/(Q17+Q19+IF(Q21="RESERVA",0,)+Q23+Q25)</f>
        <v/>
      </c>
      <c r="S32" s="53" t="n"/>
      <c r="V32" s="69" t="n"/>
      <c r="X32" s="66" t="n"/>
      <c r="AB32" s="63" t="n"/>
      <c r="AN32" s="456" t="inlineStr">
        <is>
          <t>F.Coinc:</t>
        </is>
      </c>
      <c r="AO32" s="122">
        <f>+AL21/(AQ17+AQ19+IF(AQ21="RESERVA",0,)+AQ23+AQ25)</f>
        <v/>
      </c>
      <c r="AS32" s="53" t="n"/>
      <c r="AV32" s="69" t="n"/>
      <c r="AX32" s="66" t="n"/>
    </row>
    <row r="33">
      <c r="B33" s="78" t="n"/>
      <c r="C33" s="79" t="n"/>
      <c r="D33" s="79" t="n"/>
      <c r="E33" s="79" t="n"/>
      <c r="F33" s="79" t="n"/>
      <c r="G33" s="79" t="n"/>
      <c r="H33" s="79" t="n"/>
      <c r="I33" s="79" t="n"/>
      <c r="J33" s="79" t="n"/>
      <c r="K33" s="80" t="n"/>
      <c r="L33" s="79" t="n"/>
      <c r="M33" s="79" t="n"/>
      <c r="N33" s="79" t="n"/>
      <c r="O33" s="79" t="n"/>
      <c r="P33" s="79" t="n"/>
      <c r="Q33" s="79" t="n"/>
      <c r="R33" s="79" t="n"/>
      <c r="S33" s="79" t="n"/>
      <c r="T33" s="79" t="n"/>
      <c r="U33" s="79" t="n"/>
      <c r="V33" s="79" t="n"/>
      <c r="W33" s="79" t="n"/>
      <c r="X33" s="81" t="n"/>
      <c r="AB33" s="78" t="n"/>
      <c r="AC33" s="79" t="n"/>
      <c r="AD33" s="79" t="n"/>
      <c r="AE33" s="79" t="n"/>
      <c r="AF33" s="79" t="n"/>
      <c r="AG33" s="79" t="n"/>
      <c r="AH33" s="79" t="n"/>
      <c r="AI33" s="79" t="n"/>
      <c r="AJ33" s="79" t="n"/>
      <c r="AK33" s="80" t="n"/>
      <c r="AL33" s="79" t="n"/>
      <c r="AM33" s="79" t="n"/>
      <c r="AN33" s="79" t="n"/>
      <c r="AO33" s="79" t="n"/>
      <c r="AP33" s="79" t="n"/>
      <c r="AQ33" s="79" t="n"/>
      <c r="AR33" s="79" t="n"/>
      <c r="AS33" s="79" t="n"/>
      <c r="AT33" s="79" t="n"/>
      <c r="AU33" s="79" t="n"/>
      <c r="AV33" s="79" t="n"/>
      <c r="AW33" s="79" t="n"/>
      <c r="AX33" s="81" t="n"/>
    </row>
    <row customHeight="1" ht="5.1" r="34">
      <c r="B34" s="469" t="n"/>
      <c r="C34" s="454" t="n"/>
      <c r="D34" s="454" t="n"/>
      <c r="E34" s="454" t="n"/>
      <c r="F34" s="454" t="n"/>
      <c r="G34" s="454" t="n"/>
      <c r="H34" s="454" t="n"/>
      <c r="I34" s="454" t="n"/>
      <c r="J34" s="454" t="n"/>
      <c r="K34" s="470" t="n"/>
      <c r="L34" s="454" t="n"/>
      <c r="M34" s="454" t="n"/>
      <c r="N34" s="454" t="n"/>
      <c r="O34" s="454" t="n"/>
      <c r="P34" s="454" t="n"/>
      <c r="Q34" s="454" t="n"/>
      <c r="R34" s="454" t="n"/>
      <c r="S34" s="454" t="n"/>
      <c r="T34" s="454" t="n"/>
      <c r="U34" s="454" t="n"/>
      <c r="V34" s="454" t="n"/>
      <c r="W34" s="454" t="n"/>
      <c r="X34" s="455" t="n"/>
      <c r="AB34" s="469" t="n"/>
      <c r="AC34" s="454" t="n"/>
      <c r="AD34" s="454" t="n"/>
      <c r="AE34" s="454" t="n"/>
      <c r="AF34" s="454" t="n"/>
      <c r="AG34" s="454" t="n"/>
      <c r="AH34" s="454" t="n"/>
      <c r="AI34" s="454" t="n"/>
      <c r="AJ34" s="454" t="n"/>
      <c r="AK34" s="470" t="n"/>
      <c r="AL34" s="454" t="n"/>
      <c r="AM34" s="454" t="n"/>
      <c r="AN34" s="454" t="n"/>
      <c r="AO34" s="454" t="n"/>
      <c r="AP34" s="454" t="n"/>
      <c r="AQ34" s="454" t="n"/>
      <c r="AR34" s="454" t="n"/>
      <c r="AS34" s="454" t="n"/>
      <c r="AT34" s="454" t="n"/>
      <c r="AU34" s="454" t="n"/>
      <c r="AV34" s="454" t="n"/>
      <c r="AW34" s="454" t="n"/>
      <c r="AX34" s="455" t="n"/>
    </row>
    <row customHeight="1" ht="15.75" r="35">
      <c r="B35" s="63" t="n"/>
      <c r="C35" s="45" t="n"/>
      <c r="D35" s="82" t="inlineStr">
        <is>
          <t>RESERVA (ONAF) :</t>
        </is>
      </c>
      <c r="E35" s="471" t="inlineStr">
        <is>
          <t>TRAFO 01</t>
        </is>
      </c>
      <c r="F35" s="472" t="n"/>
      <c r="G35" s="473" t="n"/>
      <c r="H35" s="83" t="n"/>
      <c r="I35" s="84" t="n"/>
      <c r="J35" s="84" t="n"/>
      <c r="K35" s="84" t="n"/>
      <c r="L35" s="83" t="n"/>
      <c r="M35" s="474" t="inlineStr">
        <is>
          <t>TOTAL</t>
        </is>
      </c>
      <c r="N35" s="475" t="n"/>
      <c r="O35" s="476" t="n"/>
      <c r="X35" s="66" t="n"/>
      <c r="AB35" s="63" t="n"/>
      <c r="AC35" s="45" t="n"/>
      <c r="AD35" s="82" t="inlineStr">
        <is>
          <t>RESERVA (ONAF) :</t>
        </is>
      </c>
      <c r="AE35" s="471" t="inlineStr">
        <is>
          <t>TRAFO 01</t>
        </is>
      </c>
      <c r="AF35" s="472" t="n"/>
      <c r="AG35" s="473" t="n"/>
      <c r="AH35" s="83" t="n"/>
      <c r="AI35" s="84" t="n"/>
      <c r="AJ35" s="84" t="n"/>
      <c r="AK35" s="84" t="n"/>
      <c r="AL35" s="83" t="n"/>
      <c r="AM35" s="474" t="inlineStr">
        <is>
          <t>TOTAL</t>
        </is>
      </c>
      <c r="AN35" s="475" t="n"/>
      <c r="AO35" s="476" t="n"/>
      <c r="AX35" s="66" t="n"/>
    </row>
    <row customFormat="1" customHeight="1" ht="20.25" r="36" s="43">
      <c r="B36" s="63" t="n"/>
      <c r="C36" s="37" t="n"/>
      <c r="D36" s="85" t="n"/>
      <c r="E36" s="86" t="inlineStr">
        <is>
          <t>220 kV</t>
        </is>
      </c>
      <c r="F36" s="87" t="n">
        <v>0</v>
      </c>
      <c r="G36" s="88" t="inlineStr">
        <is>
          <t>MVA</t>
        </is>
      </c>
      <c r="H36" s="89" t="n"/>
      <c r="I36" s="89" t="n"/>
      <c r="J36" s="90" t="n"/>
      <c r="K36" s="89" t="n"/>
      <c r="L36" s="89" t="n"/>
      <c r="M36" s="91" t="inlineStr">
        <is>
          <t>220 kV</t>
        </is>
      </c>
      <c r="N36" s="92" t="n">
        <v>0</v>
      </c>
      <c r="O36" s="93" t="inlineStr">
        <is>
          <t>MVA</t>
        </is>
      </c>
      <c r="P36" s="112" t="n"/>
      <c r="Q36" s="37" t="n"/>
      <c r="R36" s="37" t="n"/>
      <c r="S36" s="37" t="n"/>
      <c r="T36" s="37" t="n"/>
      <c r="U36" s="37" t="n"/>
      <c r="V36" s="37" t="n"/>
      <c r="W36" s="37" t="n"/>
      <c r="X36" s="66" t="n"/>
      <c r="Y36" s="37" t="n"/>
      <c r="Z36" s="110" t="n"/>
      <c r="AA36" s="37" t="n"/>
      <c r="AB36" s="63" t="n"/>
      <c r="AC36" s="37" t="n"/>
      <c r="AD36" s="85" t="n"/>
      <c r="AE36" s="86" t="inlineStr">
        <is>
          <t>220 kV</t>
        </is>
      </c>
      <c r="AF36" s="87" t="n">
        <v>0</v>
      </c>
      <c r="AG36" s="88" t="inlineStr">
        <is>
          <t>MVA</t>
        </is>
      </c>
      <c r="AH36" s="89" t="n"/>
      <c r="AI36" s="89" t="n"/>
      <c r="AJ36" s="90" t="n"/>
      <c r="AK36" s="89" t="n"/>
      <c r="AL36" s="89" t="n"/>
      <c r="AM36" s="91" t="inlineStr">
        <is>
          <t>220 kV</t>
        </is>
      </c>
      <c r="AN36" s="92" t="n">
        <v>0</v>
      </c>
      <c r="AO36" s="93" t="inlineStr">
        <is>
          <t>MVA</t>
        </is>
      </c>
      <c r="AP36" s="112" t="n"/>
      <c r="AQ36" s="37" t="n"/>
      <c r="AR36" s="37" t="n"/>
      <c r="AS36" s="37" t="n"/>
      <c r="AT36" s="37" t="n"/>
      <c r="AU36" s="37" t="n"/>
      <c r="AV36" s="37" t="n"/>
      <c r="AW36" s="37" t="n"/>
      <c r="AX36" s="66" t="n"/>
    </row>
    <row customHeight="1" ht="26.25" r="37">
      <c r="B37" s="63" t="n"/>
      <c r="D37" s="85" t="n"/>
      <c r="E37" s="94" t="inlineStr">
        <is>
          <t>60 kV</t>
        </is>
      </c>
      <c r="F37" s="95">
        <f>$J$13-$F$22</f>
        <v/>
      </c>
      <c r="G37" s="96" t="inlineStr">
        <is>
          <t>MVA</t>
        </is>
      </c>
      <c r="H37" s="89" t="n"/>
      <c r="I37" s="89" t="n"/>
      <c r="J37" s="90" t="n"/>
      <c r="K37" s="89" t="n"/>
      <c r="L37" s="89" t="n"/>
      <c r="M37" s="97" t="inlineStr">
        <is>
          <t>60 kV</t>
        </is>
      </c>
      <c r="N37" s="98">
        <f>+F37+J37</f>
        <v/>
      </c>
      <c r="O37" s="99" t="inlineStr">
        <is>
          <t>MVA</t>
        </is>
      </c>
      <c r="P37" s="111">
        <f>+IF(MID(SIGN($N$37),1,1)="-","SOBRECARGA DEL TRAFO - ROTAR TRAFO","RESERVA_TOTAL_DEL_TRANSFORMADOR_DE_POTENCIA")</f>
        <v/>
      </c>
      <c r="X37" s="66" t="n"/>
      <c r="AB37" s="63" t="n"/>
      <c r="AD37" s="85" t="n"/>
      <c r="AE37" s="94" t="inlineStr">
        <is>
          <t>60 kV</t>
        </is>
      </c>
      <c r="AF37" s="95">
        <f>$AJ$13-$AF$22</f>
        <v/>
      </c>
      <c r="AG37" s="96" t="inlineStr">
        <is>
          <t>MVA</t>
        </is>
      </c>
      <c r="AH37" s="89" t="n"/>
      <c r="AI37" s="89" t="n"/>
      <c r="AJ37" s="90" t="n"/>
      <c r="AK37" s="89" t="n"/>
      <c r="AL37" s="89" t="n"/>
      <c r="AM37" s="97" t="inlineStr">
        <is>
          <t>60 kV</t>
        </is>
      </c>
      <c r="AN37" s="98">
        <f>+AF37+AJ37</f>
        <v/>
      </c>
      <c r="AO37" s="99" t="inlineStr">
        <is>
          <t>MVA</t>
        </is>
      </c>
      <c r="AP37" s="111">
        <f>+IF(MID(SIGN($AN$37),1,1)="-","SOBRECARGA DEL TRAFO - ROTAR TRAFO","RESERVA_TOTAL_DEL_TRANSFORMADOR_DE_POTENCIA")</f>
        <v/>
      </c>
      <c r="AX37" s="66" t="n"/>
    </row>
    <row customHeight="1" ht="20.25" r="38">
      <c r="B38" s="63" t="n"/>
      <c r="D38" s="85" t="n"/>
      <c r="E38" s="117" t="inlineStr">
        <is>
          <t>22.9kK</t>
        </is>
      </c>
      <c r="F38" s="116" t="n">
        <v>0</v>
      </c>
      <c r="G38" s="96" t="inlineStr">
        <is>
          <t>MVA</t>
        </is>
      </c>
      <c r="H38" s="89" t="n"/>
      <c r="I38" s="89" t="n"/>
      <c r="J38" s="90" t="n"/>
      <c r="K38" s="89" t="n"/>
      <c r="L38" s="89" t="n"/>
      <c r="M38" s="115" t="inlineStr">
        <is>
          <t>22.9kV</t>
        </is>
      </c>
      <c r="N38" s="114" t="n">
        <v>0</v>
      </c>
      <c r="O38" s="113" t="inlineStr">
        <is>
          <t>MVA</t>
        </is>
      </c>
      <c r="P38" s="112" t="n"/>
      <c r="X38" s="66" t="n"/>
      <c r="AB38" s="63" t="n"/>
      <c r="AD38" s="85" t="n"/>
      <c r="AE38" s="117" t="inlineStr">
        <is>
          <t>22.9kK</t>
        </is>
      </c>
      <c r="AF38" s="116" t="n">
        <v>0</v>
      </c>
      <c r="AG38" s="96" t="inlineStr">
        <is>
          <t>MVA</t>
        </is>
      </c>
      <c r="AH38" s="89" t="n"/>
      <c r="AI38" s="89" t="n"/>
      <c r="AJ38" s="90" t="n"/>
      <c r="AK38" s="89" t="n"/>
      <c r="AL38" s="89" t="n"/>
      <c r="AM38" s="115" t="inlineStr">
        <is>
          <t>22.9kV</t>
        </is>
      </c>
      <c r="AN38" s="114" t="n">
        <v>0</v>
      </c>
      <c r="AO38" s="113" t="inlineStr">
        <is>
          <t>MVA</t>
        </is>
      </c>
      <c r="AP38" s="112" t="n"/>
      <c r="AX38" s="66" t="n"/>
    </row>
    <row customHeight="1" ht="26.25" r="39">
      <c r="B39" s="63" t="n"/>
      <c r="D39" s="85" t="n"/>
      <c r="E39" s="100" t="inlineStr">
        <is>
          <t>10 kV</t>
        </is>
      </c>
      <c r="F39" s="101">
        <f>$J$13-$L$22</f>
        <v/>
      </c>
      <c r="G39" s="102" t="inlineStr">
        <is>
          <t>MVA</t>
        </is>
      </c>
      <c r="H39" s="89" t="n"/>
      <c r="I39" s="89" t="n"/>
      <c r="J39" s="90" t="n"/>
      <c r="K39" s="89" t="n"/>
      <c r="L39" s="89" t="n"/>
      <c r="M39" s="103" t="inlineStr">
        <is>
          <t>10 kV</t>
        </is>
      </c>
      <c r="N39" s="104">
        <f>+J39+F39</f>
        <v/>
      </c>
      <c r="O39" s="105" t="inlineStr">
        <is>
          <t>MVA</t>
        </is>
      </c>
      <c r="P39" s="111">
        <f>+IF(MID(SIGN($N$39),1,1)="-","SOBRECARGA DEL TRAFO - ROTAR TRAFO","RESERVA_TOTAL_DEL_TRANSFORMADOR_DE_POTENCIA")</f>
        <v/>
      </c>
      <c r="X39" s="66" t="n"/>
      <c r="AB39" s="63" t="n"/>
      <c r="AD39" s="85" t="n"/>
      <c r="AE39" s="100" t="inlineStr">
        <is>
          <t>10 kV</t>
        </is>
      </c>
      <c r="AF39" s="101">
        <f>$AJ$13-$AL$22</f>
        <v/>
      </c>
      <c r="AG39" s="102" t="inlineStr">
        <is>
          <t>MVA</t>
        </is>
      </c>
      <c r="AH39" s="89" t="n"/>
      <c r="AI39" s="89" t="n"/>
      <c r="AJ39" s="90" t="n"/>
      <c r="AK39" s="89" t="n"/>
      <c r="AL39" s="89" t="n"/>
      <c r="AM39" s="103" t="inlineStr">
        <is>
          <t>10 kV</t>
        </is>
      </c>
      <c r="AN39" s="104">
        <f>+AJ39+AF39</f>
        <v/>
      </c>
      <c r="AO39" s="105" t="inlineStr">
        <is>
          <t>MVA</t>
        </is>
      </c>
      <c r="AP39" s="111">
        <f>+IF(MID(SIGN($AN$39),1,1)="-","SOBRECARGA DEL TRAFO - ROTAR TRAFO","RESERVA_TOTAL_DEL_TRANSFORMADOR_DE_POTENCIA")</f>
        <v/>
      </c>
      <c r="AX39" s="66" t="n"/>
    </row>
    <row customHeight="1" ht="5.1" r="40">
      <c r="B40" s="78" t="n"/>
      <c r="C40" s="79" t="n"/>
      <c r="D40" s="79" t="n"/>
      <c r="E40" s="79" t="n"/>
      <c r="F40" s="79" t="n"/>
      <c r="G40" s="79" t="n"/>
      <c r="H40" s="79" t="n"/>
      <c r="I40" s="79" t="n"/>
      <c r="J40" s="79" t="n"/>
      <c r="K40" s="106" t="n"/>
      <c r="L40" s="79" t="n"/>
      <c r="M40" s="79" t="n"/>
      <c r="N40" s="79" t="n"/>
      <c r="O40" s="79" t="n"/>
      <c r="P40" s="79" t="n"/>
      <c r="Q40" s="79" t="n"/>
      <c r="R40" s="79" t="n"/>
      <c r="S40" s="79" t="n"/>
      <c r="T40" s="79" t="n"/>
      <c r="U40" s="79" t="n"/>
      <c r="V40" s="79" t="n"/>
      <c r="W40" s="79" t="n"/>
      <c r="X40" s="81" t="n"/>
      <c r="AB40" s="78" t="n"/>
      <c r="AC40" s="79" t="n"/>
      <c r="AD40" s="79" t="n"/>
      <c r="AE40" s="79" t="n"/>
      <c r="AF40" s="79" t="n"/>
      <c r="AG40" s="79" t="n"/>
      <c r="AH40" s="79" t="n"/>
      <c r="AI40" s="79" t="n"/>
      <c r="AJ40" s="79" t="n"/>
      <c r="AK40" s="106" t="n"/>
      <c r="AL40" s="79" t="n"/>
      <c r="AM40" s="79" t="n"/>
      <c r="AN40" s="79" t="n"/>
      <c r="AO40" s="79" t="n"/>
      <c r="AP40" s="79" t="n"/>
      <c r="AQ40" s="79" t="n"/>
      <c r="AR40" s="79" t="n"/>
      <c r="AS40" s="79" t="n"/>
      <c r="AT40" s="79" t="n"/>
      <c r="AU40" s="79" t="n"/>
      <c r="AV40" s="79" t="n"/>
      <c r="AW40" s="79" t="n"/>
      <c r="AX40" s="81" t="n"/>
    </row>
    <row r="41">
      <c r="F41" s="646" t="n"/>
      <c r="Q41" s="52" t="n"/>
      <c r="R41" s="52" t="n"/>
      <c r="T41" s="52" t="n"/>
      <c r="U41" s="52" t="n"/>
      <c r="W41" s="52" t="n"/>
      <c r="X41" s="52" t="n"/>
      <c r="AF41" s="646" t="n"/>
      <c r="AQ41" s="52" t="n"/>
      <c r="AR41" s="52" t="n"/>
      <c r="AT41" s="52" t="n"/>
      <c r="AU41" s="52" t="n"/>
      <c r="AW41" s="52" t="n"/>
      <c r="AX41" s="52" t="n"/>
    </row>
    <row r="42">
      <c r="F42" s="646" t="n"/>
      <c r="Q42" s="52" t="n"/>
      <c r="R42" s="52" t="n"/>
      <c r="T42" s="52" t="n"/>
      <c r="U42" s="52" t="n"/>
      <c r="W42" s="52" t="n"/>
      <c r="X42" s="52" t="n"/>
      <c r="AF42" s="646" t="n"/>
      <c r="AQ42" s="52" t="n"/>
      <c r="AR42" s="52" t="n"/>
      <c r="AT42" s="52" t="n"/>
      <c r="AU42" s="52" t="n"/>
      <c r="AW42" s="52" t="n"/>
      <c r="AX42" s="52" t="n"/>
    </row>
    <row r="43">
      <c r="F43" s="646" t="n"/>
      <c r="Q43" s="52" t="n"/>
      <c r="R43" s="52" t="n"/>
      <c r="T43" s="52" t="n"/>
      <c r="U43" s="52" t="n"/>
      <c r="W43" s="52" t="n"/>
      <c r="X43" s="52" t="n"/>
      <c r="AF43" s="646" t="n"/>
      <c r="AQ43" s="52" t="n"/>
      <c r="AR43" s="52" t="n"/>
      <c r="AT43" s="52" t="n"/>
      <c r="AU43" s="52" t="n"/>
      <c r="AW43" s="52" t="n"/>
      <c r="AX43" s="52" t="n"/>
    </row>
    <row customHeight="1" ht="18" r="44">
      <c r="B44" s="56" t="inlineStr">
        <is>
          <t>ESCENARIO 1:</t>
        </is>
      </c>
      <c r="W44" s="52" t="n"/>
      <c r="AB44" s="56" t="inlineStr">
        <is>
          <t>ESCENARIO 1:</t>
        </is>
      </c>
      <c r="AW44" s="52" t="n"/>
    </row>
    <row r="45">
      <c r="W45" s="52" t="n"/>
      <c r="AW45" s="52" t="n"/>
    </row>
    <row customHeight="1" ht="11.25" r="46"/>
    <row customHeight="1" ht="15.75" r="47">
      <c r="B47" s="453" t="n"/>
      <c r="C47" s="454" t="n"/>
      <c r="D47" s="454" t="n"/>
      <c r="E47" s="454" t="n"/>
      <c r="F47" s="454" t="n"/>
      <c r="G47" s="454" t="n"/>
      <c r="H47" s="454" t="n"/>
      <c r="I47" s="454" t="n"/>
      <c r="J47" s="454" t="n"/>
      <c r="K47" s="454" t="n"/>
      <c r="L47" s="454" t="n"/>
      <c r="M47" s="454" t="n"/>
      <c r="N47" s="454" t="n"/>
      <c r="O47" s="454" t="n"/>
      <c r="P47" s="454" t="n"/>
      <c r="Q47" s="454" t="n"/>
      <c r="R47" s="454" t="n"/>
      <c r="S47" s="454" t="n"/>
      <c r="T47" s="454" t="n"/>
      <c r="U47" s="454" t="n"/>
      <c r="V47" s="454" t="n"/>
      <c r="W47" s="454" t="n"/>
      <c r="X47" s="455" t="n"/>
      <c r="AB47" s="453" t="n"/>
      <c r="AC47" s="454" t="n"/>
      <c r="AD47" s="454" t="n"/>
      <c r="AE47" s="454" t="n"/>
      <c r="AF47" s="454" t="n"/>
      <c r="AG47" s="454" t="n"/>
      <c r="AH47" s="454" t="n"/>
      <c r="AI47" s="454" t="n"/>
      <c r="AJ47" s="454" t="n"/>
      <c r="AK47" s="454" t="n"/>
      <c r="AL47" s="454" t="n"/>
      <c r="AM47" s="454" t="n"/>
      <c r="AN47" s="454" t="n"/>
      <c r="AO47" s="454" t="n"/>
      <c r="AP47" s="454" t="n"/>
      <c r="AQ47" s="454" t="n"/>
      <c r="AR47" s="454" t="n"/>
      <c r="AS47" s="454" t="n"/>
      <c r="AT47" s="454" t="n"/>
      <c r="AU47" s="454" t="n"/>
      <c r="AV47" s="454" t="n"/>
      <c r="AW47" s="454" t="n"/>
      <c r="AX47" s="455" t="n"/>
    </row>
    <row customHeight="1" ht="15" r="48">
      <c r="B48" s="57" t="n"/>
      <c r="C48" s="58" t="n"/>
      <c r="D48" s="59" t="n"/>
      <c r="E48" s="59" t="n"/>
      <c r="F48" s="59" t="n"/>
      <c r="G48" s="59" t="n"/>
      <c r="H48" s="59" t="n"/>
      <c r="I48" s="60" t="n"/>
      <c r="J48" s="60" t="n"/>
      <c r="K48" s="60" t="n"/>
      <c r="L48" s="60" t="n"/>
      <c r="M48" s="60" t="n"/>
      <c r="N48" s="60" t="n"/>
      <c r="O48" s="60" t="n"/>
      <c r="P48" s="60" t="n"/>
      <c r="Q48" s="60" t="n"/>
      <c r="R48" s="60" t="n"/>
      <c r="S48" s="60" t="n"/>
      <c r="T48" s="60" t="n"/>
      <c r="U48" s="60" t="n"/>
      <c r="V48" s="60" t="n"/>
      <c r="W48" s="60" t="n"/>
      <c r="X48" s="61" t="n"/>
      <c r="Y48" s="62" t="n"/>
      <c r="AB48" s="57" t="n"/>
      <c r="AC48" s="58" t="n"/>
      <c r="AD48" s="59" t="n"/>
      <c r="AE48" s="59" t="n"/>
      <c r="AF48" s="59" t="n"/>
      <c r="AG48" s="59" t="n"/>
      <c r="AH48" s="59" t="n"/>
      <c r="AI48" s="60" t="n"/>
      <c r="AJ48" s="60" t="n"/>
      <c r="AK48" s="60" t="n"/>
      <c r="AL48" s="60" t="n"/>
      <c r="AM48" s="60" t="n"/>
      <c r="AN48" s="60" t="n"/>
      <c r="AO48" s="60" t="n"/>
      <c r="AP48" s="60" t="n"/>
      <c r="AQ48" s="60" t="n"/>
      <c r="AR48" s="60" t="n"/>
      <c r="AS48" s="60" t="n"/>
      <c r="AT48" s="60" t="n"/>
      <c r="AU48" s="60" t="n"/>
      <c r="AV48" s="60" t="n"/>
      <c r="AW48" s="60" t="n"/>
      <c r="AX48" s="61" t="n"/>
    </row>
    <row customHeight="1" ht="23.25" r="49">
      <c r="B49" s="108" t="inlineStr">
        <is>
          <t>CONFIGURACION ACTUAL  - TRANFERENCIA +  INCREMENTO DE POTENCIA DE 0.587MW</t>
        </is>
      </c>
      <c r="C49" s="58" t="n"/>
      <c r="D49" s="59" t="n"/>
      <c r="E49" s="59" t="n"/>
      <c r="F49" s="59" t="n"/>
      <c r="G49" s="59" t="n"/>
      <c r="H49" s="59" t="n"/>
      <c r="I49" s="60" t="n"/>
      <c r="J49" s="60" t="n"/>
      <c r="K49" s="60" t="n"/>
      <c r="L49" s="60" t="n"/>
      <c r="M49" s="60" t="n"/>
      <c r="N49" s="60" t="n"/>
      <c r="O49" s="60" t="n"/>
      <c r="P49" s="60" t="n"/>
      <c r="Q49" s="60" t="n"/>
      <c r="R49" s="60" t="n"/>
      <c r="S49" s="60" t="n"/>
      <c r="T49" s="60" t="n"/>
      <c r="U49" s="60" t="n"/>
      <c r="V49" s="60" t="n"/>
      <c r="W49" s="60" t="n"/>
      <c r="X49" s="61" t="n"/>
      <c r="Y49" s="62" t="n"/>
      <c r="AB49" s="108" t="inlineStr">
        <is>
          <t>ROTACIÓN DE TRAFO DE LUREN DE 15MVA A EL CARMEN CON MAXIMA DEMANDA 2019  +  TRANSFERENCIA DE PE101 A CA105</t>
        </is>
      </c>
      <c r="AC49" s="58" t="n"/>
      <c r="AD49" s="59" t="n"/>
      <c r="AE49" s="121" t="n"/>
      <c r="AF49" s="59" t="n"/>
      <c r="AG49" s="59" t="n"/>
      <c r="AH49" s="59" t="n"/>
      <c r="AI49" s="60" t="n"/>
      <c r="AJ49" s="60" t="n"/>
      <c r="AK49" s="60" t="n"/>
      <c r="AL49" s="60" t="n"/>
      <c r="AM49" s="60" t="n"/>
      <c r="AN49" s="60" t="n"/>
      <c r="AO49" s="60" t="n"/>
      <c r="AP49" s="60" t="n"/>
      <c r="AQ49" s="60" t="n"/>
      <c r="AR49" s="60" t="n"/>
      <c r="AS49" s="60" t="n"/>
      <c r="AT49" s="60" t="n"/>
      <c r="AU49" s="60" t="n"/>
      <c r="AV49" s="60" t="n"/>
      <c r="AW49" s="60" t="n"/>
      <c r="AX49" s="61" t="n"/>
    </row>
    <row customHeight="1" ht="17.25" r="50">
      <c r="B50" s="108" t="n"/>
      <c r="C50" s="58" t="n"/>
      <c r="D50" s="59" t="n"/>
      <c r="E50" s="59" t="n"/>
      <c r="F50" s="59" t="n"/>
      <c r="G50" s="59" t="n"/>
      <c r="H50" s="59" t="n"/>
      <c r="I50" s="60" t="n"/>
      <c r="J50" s="60" t="n"/>
      <c r="K50" s="60" t="n"/>
      <c r="L50" s="60" t="n"/>
      <c r="M50" s="60" t="n"/>
      <c r="N50" s="60" t="n"/>
      <c r="O50" s="60" t="n"/>
      <c r="P50" s="60" t="n"/>
      <c r="Q50" s="60" t="n"/>
      <c r="R50" s="60" t="n"/>
      <c r="S50" s="60" t="n"/>
      <c r="T50" s="60" t="n"/>
      <c r="U50" s="60" t="n"/>
      <c r="V50" s="60" t="n"/>
      <c r="W50" s="60" t="n"/>
      <c r="X50" s="61" t="n"/>
      <c r="Y50" s="62" t="n"/>
      <c r="AB50" s="108" t="n"/>
      <c r="AC50" s="58" t="n"/>
      <c r="AD50" s="59" t="n"/>
      <c r="AE50" s="59" t="n"/>
      <c r="AF50" s="59" t="n"/>
      <c r="AG50" s="59" t="n"/>
      <c r="AH50" s="59" t="n"/>
      <c r="AI50" s="60" t="n"/>
      <c r="AJ50" s="60" t="n"/>
      <c r="AK50" s="60" t="n"/>
      <c r="AL50" s="60" t="n"/>
      <c r="AM50" s="60" t="n"/>
      <c r="AN50" s="60" t="n"/>
      <c r="AO50" s="60" t="n"/>
      <c r="AP50" s="60" t="n"/>
      <c r="AQ50" s="60" t="n"/>
      <c r="AR50" s="60" t="n"/>
      <c r="AS50" s="60" t="n"/>
      <c r="AT50" s="60" t="n"/>
      <c r="AU50" s="60" t="n"/>
      <c r="AV50" s="60" t="n"/>
      <c r="AW50" s="60" t="n"/>
      <c r="AX50" s="61" t="n"/>
    </row>
    <row r="51">
      <c r="B51" s="63" t="n"/>
      <c r="S51" s="53" t="n"/>
      <c r="V51" s="53" t="n"/>
      <c r="X51" s="66" t="n"/>
      <c r="AB51" s="63" t="n"/>
      <c r="AS51" s="53" t="n"/>
      <c r="AV51" s="53" t="n"/>
      <c r="AX51" s="66" t="n"/>
    </row>
    <row customHeight="1" ht="15" r="52">
      <c r="B52" s="63" t="n"/>
      <c r="E52" s="120" t="inlineStr">
        <is>
          <t>TRAFO 01</t>
        </is>
      </c>
      <c r="H52" s="64" t="n"/>
      <c r="I52" s="570" t="inlineStr">
        <is>
          <t>60/10 KV</t>
        </is>
      </c>
      <c r="O52" s="52" t="n"/>
      <c r="P52" s="72" t="n"/>
      <c r="T52" s="53" t="n"/>
      <c r="X52" s="66" t="n"/>
      <c r="AB52" s="63" t="n"/>
      <c r="AE52" s="120" t="inlineStr">
        <is>
          <t>TRAFO 01</t>
        </is>
      </c>
      <c r="AH52" s="64" t="n"/>
      <c r="AI52" s="570" t="inlineStr">
        <is>
          <t>60/10 KV</t>
        </is>
      </c>
      <c r="AO52" s="52" t="n"/>
      <c r="AP52" s="72" t="n"/>
      <c r="AT52" s="53" t="n"/>
      <c r="AX52" s="66" t="n"/>
    </row>
    <row r="53">
      <c r="B53" s="63" t="n"/>
      <c r="E53" s="64" t="n"/>
      <c r="I53" s="65" t="n"/>
      <c r="M53" s="73" t="n"/>
      <c r="O53" s="456" t="n"/>
      <c r="P53" s="72" t="n"/>
      <c r="T53" s="53" t="n"/>
      <c r="V53" s="53" t="n"/>
      <c r="X53" s="66" t="n"/>
      <c r="AB53" s="63" t="n"/>
      <c r="AE53" s="64" t="n"/>
      <c r="AI53" s="65" t="n"/>
      <c r="AM53" s="73" t="n"/>
      <c r="AO53" s="456" t="n"/>
      <c r="AP53" s="72" t="n"/>
      <c r="AT53" s="53" t="n"/>
      <c r="AV53" s="53" t="n"/>
      <c r="AX53" s="66" t="n"/>
    </row>
    <row customHeight="1" ht="15.75" r="54">
      <c r="B54" s="63" t="n"/>
      <c r="E54" s="45" t="inlineStr">
        <is>
          <t>Pot. Inst.</t>
        </is>
      </c>
      <c r="F54" s="67" t="n"/>
      <c r="I54" s="119" t="n">
        <v>25</v>
      </c>
      <c r="J54" s="67" t="n">
        <v>31.25</v>
      </c>
      <c r="K54" s="67" t="inlineStr">
        <is>
          <t>MVA ONAF</t>
        </is>
      </c>
      <c r="T54" s="53" t="n"/>
      <c r="V54" s="53" t="n"/>
      <c r="X54" s="66" t="n"/>
      <c r="AB54" s="63" t="n"/>
      <c r="AE54" s="45" t="inlineStr">
        <is>
          <t>Pot. Inst.</t>
        </is>
      </c>
      <c r="AF54" s="67" t="n"/>
      <c r="AI54" s="119" t="n">
        <v>15</v>
      </c>
      <c r="AJ54" s="67" t="n">
        <v>18.75</v>
      </c>
      <c r="AK54" s="67" t="inlineStr">
        <is>
          <t>MVA ONAF</t>
        </is>
      </c>
      <c r="AT54" s="53" t="n"/>
      <c r="AV54" s="53" t="n"/>
      <c r="AX54" s="66" t="n"/>
    </row>
    <row customHeight="1" ht="15.75" r="55">
      <c r="B55" s="63" t="n"/>
      <c r="E55" s="45" t="inlineStr">
        <is>
          <t>Demanda</t>
        </is>
      </c>
      <c r="I55" s="569">
        <f>F63&amp;" / "&amp;L63&amp;" MVA"</f>
        <v/>
      </c>
      <c r="T55" s="53" t="n"/>
      <c r="V55" s="53" t="n"/>
      <c r="X55" s="66" t="n"/>
      <c r="AB55" s="63" t="n"/>
      <c r="AE55" s="45" t="inlineStr">
        <is>
          <t>Demanda</t>
        </is>
      </c>
      <c r="AF55" s="68" t="n"/>
      <c r="AI55" s="569">
        <f>AF63&amp;" / "&amp;AL63&amp;" MVA"</f>
        <v/>
      </c>
      <c r="AT55" s="53" t="n"/>
      <c r="AV55" s="53" t="n"/>
      <c r="AX55" s="66" t="n"/>
    </row>
    <row r="56">
      <c r="B56" s="63" t="n"/>
      <c r="T56" s="53" t="n"/>
      <c r="X56" s="66" t="n"/>
      <c r="AB56" s="63" t="n"/>
      <c r="AT56" s="53" t="n"/>
      <c r="AX56" s="66" t="n"/>
    </row>
    <row r="57">
      <c r="B57" s="63" t="n"/>
      <c r="M57" s="52" t="n"/>
      <c r="Q57" s="53" t="n"/>
      <c r="V57" s="53" t="n"/>
      <c r="X57" s="66" t="n"/>
      <c r="AB57" s="63" t="n"/>
      <c r="AM57" s="52" t="n"/>
      <c r="AQ57" s="53" t="n"/>
      <c r="AV57" s="53" t="n"/>
      <c r="AX57" s="66" t="n"/>
    </row>
    <row r="58">
      <c r="B58" s="63" t="n"/>
      <c r="M58" s="52" t="n"/>
      <c r="P58" s="76" t="inlineStr">
        <is>
          <t>PE101</t>
        </is>
      </c>
      <c r="Q58" s="477">
        <f>6.655-#REF!/1000+#REF!/1000</f>
        <v/>
      </c>
      <c r="R58" s="458" t="inlineStr">
        <is>
          <t>MW</t>
        </is>
      </c>
      <c r="T58" s="457" t="n">
        <v>2.268</v>
      </c>
      <c r="U58" s="458" t="inlineStr">
        <is>
          <t>MVAR</t>
        </is>
      </c>
      <c r="V58" s="53" t="n"/>
      <c r="X58" s="66" t="n"/>
      <c r="AB58" s="63" t="n"/>
      <c r="AM58" s="52" t="n"/>
      <c r="AP58" s="76" t="inlineStr">
        <is>
          <t>CA101</t>
        </is>
      </c>
      <c r="AQ58" s="457" t="n">
        <v>4.724</v>
      </c>
      <c r="AR58" s="458" t="inlineStr">
        <is>
          <t>MW</t>
        </is>
      </c>
      <c r="AT58" s="457" t="n">
        <v>1.052</v>
      </c>
      <c r="AU58" s="458" t="inlineStr">
        <is>
          <t>MVAR</t>
        </is>
      </c>
      <c r="AV58" s="53" t="n"/>
      <c r="AX58" s="66" t="n"/>
    </row>
    <row r="59">
      <c r="B59" s="74" t="n"/>
      <c r="C59" s="75" t="n"/>
      <c r="P59" s="76" t="n"/>
      <c r="V59" s="53" t="n"/>
      <c r="X59" s="66" t="n"/>
      <c r="AB59" s="74" t="n"/>
      <c r="AC59" s="75" t="n"/>
      <c r="AP59" s="76" t="n"/>
      <c r="AV59" s="53" t="n"/>
      <c r="AX59" s="66" t="n"/>
    </row>
    <row r="60">
      <c r="B60" s="63" t="n"/>
      <c r="P60" s="76" t="inlineStr">
        <is>
          <t>PE102</t>
        </is>
      </c>
      <c r="Q60" s="457" t="n">
        <v>7.542</v>
      </c>
      <c r="R60" s="458" t="inlineStr">
        <is>
          <t>MW</t>
        </is>
      </c>
      <c r="T60" s="457" t="n">
        <v>2.563</v>
      </c>
      <c r="U60" s="458" t="inlineStr">
        <is>
          <t>MVAR</t>
        </is>
      </c>
      <c r="V60" s="53" t="n"/>
      <c r="X60" s="66" t="n"/>
      <c r="AB60" s="63" t="n"/>
      <c r="AP60" s="76" t="inlineStr">
        <is>
          <t>CA102</t>
        </is>
      </c>
      <c r="AQ60" s="457" t="n">
        <v>0</v>
      </c>
      <c r="AR60" s="458" t="inlineStr">
        <is>
          <t>MW</t>
        </is>
      </c>
      <c r="AT60" s="457" t="n">
        <v>0</v>
      </c>
      <c r="AU60" s="458" t="inlineStr">
        <is>
          <t>MVAR</t>
        </is>
      </c>
      <c r="AV60" s="53" t="n"/>
      <c r="AX60" s="66" t="n"/>
    </row>
    <row r="61">
      <c r="B61" s="63" t="n"/>
      <c r="P61" s="76" t="n"/>
      <c r="Q61" s="69" t="n"/>
      <c r="T61" s="69" t="n"/>
      <c r="V61" s="53" t="n"/>
      <c r="X61" s="66" t="n"/>
      <c r="AB61" s="63" t="n"/>
      <c r="AP61" s="76" t="n"/>
      <c r="AQ61" s="69" t="n"/>
      <c r="AT61" s="69" t="n"/>
      <c r="AV61" s="53" t="n"/>
      <c r="AX61" s="66" t="n"/>
    </row>
    <row r="62">
      <c r="B62" s="63" t="n"/>
      <c r="F62" s="459" t="n">
        <v>20.728</v>
      </c>
      <c r="G62" s="460" t="inlineStr">
        <is>
          <t>MW</t>
        </is>
      </c>
      <c r="L62" s="461" t="n">
        <v>20.945</v>
      </c>
      <c r="M62" s="462" t="inlineStr">
        <is>
          <t>MW</t>
        </is>
      </c>
      <c r="P62" s="76" t="inlineStr">
        <is>
          <t>PE103</t>
        </is>
      </c>
      <c r="Q62" s="463" t="n">
        <v>3.583</v>
      </c>
      <c r="R62" s="464" t="inlineStr">
        <is>
          <t>MW</t>
        </is>
      </c>
      <c r="T62" s="465" t="n">
        <v>0.508</v>
      </c>
      <c r="U62" s="458" t="inlineStr">
        <is>
          <t>MVAR</t>
        </is>
      </c>
      <c r="X62" s="66" t="n"/>
      <c r="AB62" s="63" t="n"/>
      <c r="AF62" s="459">
        <f>8.6023+#REF!/1000</f>
        <v/>
      </c>
      <c r="AG62" s="460" t="inlineStr">
        <is>
          <t>MW</t>
        </is>
      </c>
      <c r="AL62" s="461">
        <f>8.567+#REF!/1000</f>
        <v/>
      </c>
      <c r="AM62" s="462" t="inlineStr">
        <is>
          <t>MW</t>
        </is>
      </c>
      <c r="AP62" s="76" t="inlineStr">
        <is>
          <t>CA103</t>
        </is>
      </c>
      <c r="AQ62" s="465" t="inlineStr">
        <is>
          <t>RESERVA</t>
        </is>
      </c>
      <c r="AR62" s="464" t="inlineStr">
        <is>
          <t>MW</t>
        </is>
      </c>
      <c r="AT62" s="466" t="inlineStr">
        <is>
          <t>RESERVA</t>
        </is>
      </c>
      <c r="AU62" s="458" t="inlineStr">
        <is>
          <t>MVAR</t>
        </is>
      </c>
      <c r="AX62" s="66" t="n"/>
    </row>
    <row customHeight="1" ht="12" r="63">
      <c r="B63" s="63" t="n"/>
      <c r="F63" s="70">
        <f>+ROUND(SQRT(POWER(F62,2)+POWER(F64,2)),2)</f>
        <v/>
      </c>
      <c r="G63" s="71" t="inlineStr">
        <is>
          <t>MVA</t>
        </is>
      </c>
      <c r="L63" s="70">
        <f>+ROUND(SQRT(POWER(L62,2)+POWER(L64,2)),2)</f>
        <v/>
      </c>
      <c r="M63" s="71" t="inlineStr">
        <is>
          <t>MVA</t>
        </is>
      </c>
      <c r="P63" s="76" t="n"/>
      <c r="V63" s="53" t="n"/>
      <c r="X63" s="66" t="n"/>
      <c r="AB63" s="63" t="n"/>
      <c r="AF63" s="70">
        <f>+ROUND(SQRT(POWER(AF62,2)+POWER(AF64,2)),2)</f>
        <v/>
      </c>
      <c r="AG63" s="71" t="inlineStr">
        <is>
          <t>MVA</t>
        </is>
      </c>
      <c r="AL63" s="70">
        <f>+ROUND(SQRT(POWER(AL62,2)+POWER(AL64,2)),2)</f>
        <v/>
      </c>
      <c r="AM63" s="71" t="inlineStr">
        <is>
          <t>MVA</t>
        </is>
      </c>
      <c r="AP63" s="76" t="n"/>
      <c r="AV63" s="53" t="n"/>
      <c r="AX63" s="66" t="n"/>
    </row>
    <row customHeight="1" ht="12" r="64">
      <c r="B64" s="63" t="n"/>
      <c r="F64" s="459" t="n">
        <v>7.481</v>
      </c>
      <c r="G64" s="460" t="inlineStr">
        <is>
          <t>MVAR</t>
        </is>
      </c>
      <c r="L64" s="461" t="n">
        <v>6.128</v>
      </c>
      <c r="M64" s="462" t="inlineStr">
        <is>
          <t>MVAR</t>
        </is>
      </c>
      <c r="O64" s="52" t="n"/>
      <c r="P64" s="76" t="inlineStr">
        <is>
          <t>PE104</t>
        </is>
      </c>
      <c r="Q64" s="463" t="n">
        <v>6.051</v>
      </c>
      <c r="R64" s="464" t="inlineStr">
        <is>
          <t>MW</t>
        </is>
      </c>
      <c r="T64" s="463" t="n">
        <v>2.236</v>
      </c>
      <c r="U64" s="458" t="inlineStr">
        <is>
          <t>MVAR</t>
        </is>
      </c>
      <c r="X64" s="66" t="n"/>
      <c r="AB64" s="63" t="n"/>
      <c r="AF64" s="459" t="n">
        <v>2.2964</v>
      </c>
      <c r="AG64" s="460" t="inlineStr">
        <is>
          <t>MVAR</t>
        </is>
      </c>
      <c r="AL64" s="461" t="n">
        <v>1.142</v>
      </c>
      <c r="AM64" s="462" t="inlineStr">
        <is>
          <t>MVAR</t>
        </is>
      </c>
      <c r="AO64" s="52" t="n"/>
      <c r="AP64" s="76" t="inlineStr">
        <is>
          <t>CA104</t>
        </is>
      </c>
      <c r="AQ64" s="463" t="n">
        <v>1.471</v>
      </c>
      <c r="AR64" s="464" t="inlineStr">
        <is>
          <t>MW</t>
        </is>
      </c>
      <c r="AT64" s="463" t="n">
        <v>0.843</v>
      </c>
      <c r="AU64" s="458" t="inlineStr">
        <is>
          <t>MVAR</t>
        </is>
      </c>
      <c r="AX64" s="66" t="n"/>
    </row>
    <row customHeight="1" ht="12" r="65">
      <c r="B65" s="63" t="n"/>
      <c r="F65" s="118">
        <f>+F63/$J$13</f>
        <v/>
      </c>
      <c r="G65" s="467" t="inlineStr">
        <is>
          <t>:FU</t>
        </is>
      </c>
      <c r="H65" s="45" t="n"/>
      <c r="L65" s="118">
        <f>+L63/$J$13</f>
        <v/>
      </c>
      <c r="M65" s="467" t="inlineStr">
        <is>
          <t>:FU</t>
        </is>
      </c>
      <c r="Q65" s="53" t="n"/>
      <c r="T65" s="53" t="n"/>
      <c r="V65" s="53" t="n"/>
      <c r="X65" s="66" t="n"/>
      <c r="AB65" s="63" t="n"/>
      <c r="AF65" s="118">
        <f>+AF63/$AJ$54</f>
        <v/>
      </c>
      <c r="AG65" s="467" t="inlineStr">
        <is>
          <t>:FU</t>
        </is>
      </c>
      <c r="AH65" s="45" t="n"/>
      <c r="AL65" s="118">
        <f>+AL63/$AJ$54</f>
        <v/>
      </c>
      <c r="AM65" s="467" t="inlineStr">
        <is>
          <t>:FU</t>
        </is>
      </c>
      <c r="AQ65" s="53" t="n"/>
      <c r="AT65" s="53" t="n"/>
      <c r="AV65" s="53" t="n"/>
      <c r="AX65" s="66" t="n"/>
    </row>
    <row customHeight="1" ht="12" r="66">
      <c r="B66" s="63" t="n"/>
      <c r="F66" s="45" t="n"/>
      <c r="G66" s="45" t="n"/>
      <c r="H66" s="45" t="n"/>
      <c r="O66" s="52" t="n"/>
      <c r="P66" s="76" t="inlineStr">
        <is>
          <t>PE105</t>
        </is>
      </c>
      <c r="Q66" s="463" t="n">
        <v>3.037</v>
      </c>
      <c r="R66" s="464" t="inlineStr">
        <is>
          <t>MW</t>
        </is>
      </c>
      <c r="T66" s="463" t="n">
        <v>-0.155</v>
      </c>
      <c r="U66" s="458" t="inlineStr">
        <is>
          <t>MVAR</t>
        </is>
      </c>
      <c r="X66" s="66" t="n"/>
      <c r="AB66" s="63" t="n"/>
      <c r="AF66" s="468" t="n"/>
      <c r="AG66" s="45" t="n"/>
      <c r="AH66" s="45" t="n"/>
      <c r="AL66" s="468" t="n"/>
      <c r="AO66" s="52" t="n"/>
      <c r="AP66" s="76" t="inlineStr">
        <is>
          <t>CA105</t>
        </is>
      </c>
      <c r="AQ66" s="478">
        <f>4.679+#REF!/1000</f>
        <v/>
      </c>
      <c r="AR66" s="464" t="inlineStr">
        <is>
          <t>MW</t>
        </is>
      </c>
      <c r="AT66" s="463" t="n">
        <v>0.788</v>
      </c>
      <c r="AU66" s="458" t="inlineStr">
        <is>
          <t>MVAR</t>
        </is>
      </c>
      <c r="AX66" s="66" t="n"/>
    </row>
    <row customHeight="1" ht="12" r="67">
      <c r="B67" s="63" t="n"/>
      <c r="E67" s="45" t="n"/>
      <c r="F67" s="45" t="n"/>
      <c r="G67" s="45" t="n"/>
      <c r="H67" s="45" t="n"/>
      <c r="I67" s="77" t="n"/>
      <c r="X67" s="66" t="n"/>
      <c r="AB67" s="63" t="n"/>
      <c r="AE67" s="45" t="n"/>
      <c r="AF67" s="45" t="n"/>
      <c r="AG67" s="45" t="n"/>
      <c r="AH67" s="45" t="n"/>
      <c r="AI67" s="77" t="n"/>
      <c r="AX67" s="66" t="n"/>
    </row>
    <row customHeight="1" ht="12" r="68">
      <c r="B68" s="63" t="n"/>
      <c r="X68" s="66" t="n"/>
      <c r="AB68" s="63" t="n"/>
      <c r="AX68" s="66" t="n"/>
    </row>
    <row customHeight="1" ht="12" r="69">
      <c r="B69" s="63" t="n"/>
      <c r="X69" s="66" t="n"/>
      <c r="AB69" s="63" t="n"/>
      <c r="AX69" s="66" t="n"/>
    </row>
    <row r="70">
      <c r="B70" s="63" t="n"/>
      <c r="X70" s="66" t="n"/>
      <c r="AB70" s="63" t="n"/>
      <c r="AX70" s="66" t="n"/>
    </row>
    <row r="71">
      <c r="B71" s="63" t="n"/>
      <c r="X71" s="66" t="n"/>
      <c r="AB71" s="63" t="n"/>
      <c r="AX71" s="66" t="n"/>
    </row>
    <row r="72">
      <c r="B72" s="63" t="n"/>
      <c r="X72" s="66" t="n"/>
      <c r="AB72" s="63" t="n"/>
      <c r="AX72" s="66" t="n"/>
    </row>
    <row r="73">
      <c r="B73" s="63" t="n"/>
      <c r="N73" s="456" t="inlineStr">
        <is>
          <t>F.Coinc:</t>
        </is>
      </c>
      <c r="O73" s="72">
        <f>+L62/(Q58+Q60+Q62+Q64+Q66)</f>
        <v/>
      </c>
      <c r="S73" s="53" t="n"/>
      <c r="V73" s="69" t="n"/>
      <c r="X73" s="66" t="n"/>
      <c r="AB73" s="63" t="n"/>
      <c r="AN73" s="456" t="inlineStr">
        <is>
          <t>F.Coinc:</t>
        </is>
      </c>
      <c r="AO73" s="72">
        <f>+AL62*1000/(AQ58+AQ60+IF(AQ62="RESERVA",0,)+AQ64+AQ66)</f>
        <v/>
      </c>
      <c r="AS73" s="53" t="n"/>
      <c r="AV73" s="69" t="n"/>
      <c r="AX73" s="66" t="n"/>
    </row>
    <row r="74">
      <c r="B74" s="78" t="n"/>
      <c r="C74" s="79" t="n"/>
      <c r="D74" s="79" t="n"/>
      <c r="E74" s="79" t="n"/>
      <c r="F74" s="79" t="n"/>
      <c r="G74" s="79" t="n"/>
      <c r="H74" s="79" t="n"/>
      <c r="I74" s="79" t="n"/>
      <c r="J74" s="79" t="n"/>
      <c r="K74" s="80" t="n"/>
      <c r="L74" s="79" t="n"/>
      <c r="M74" s="79" t="n"/>
      <c r="N74" s="79" t="n"/>
      <c r="O74" s="79" t="n"/>
      <c r="P74" s="79" t="n"/>
      <c r="Q74" s="79" t="n"/>
      <c r="R74" s="79" t="n"/>
      <c r="S74" s="79" t="n"/>
      <c r="T74" s="79" t="n"/>
      <c r="U74" s="79" t="n"/>
      <c r="V74" s="79" t="n"/>
      <c r="W74" s="79" t="n"/>
      <c r="X74" s="81" t="n"/>
      <c r="AB74" s="78" t="n"/>
      <c r="AC74" s="79" t="n"/>
      <c r="AD74" s="79" t="n"/>
      <c r="AE74" s="79" t="n"/>
      <c r="AF74" s="79" t="n"/>
      <c r="AG74" s="79" t="n"/>
      <c r="AH74" s="79" t="n"/>
      <c r="AI74" s="79" t="n"/>
      <c r="AJ74" s="79" t="n"/>
      <c r="AK74" s="80" t="n"/>
      <c r="AL74" s="79" t="n"/>
      <c r="AM74" s="79" t="n"/>
      <c r="AN74" s="79" t="n"/>
      <c r="AO74" s="79" t="n"/>
      <c r="AP74" s="79" t="n"/>
      <c r="AQ74" s="79" t="n"/>
      <c r="AR74" s="79" t="n"/>
      <c r="AS74" s="79" t="n"/>
      <c r="AT74" s="79" t="n"/>
      <c r="AU74" s="79" t="n"/>
      <c r="AV74" s="79" t="n"/>
      <c r="AW74" s="79" t="n"/>
      <c r="AX74" s="81" t="n"/>
    </row>
    <row customHeight="1" ht="5.1" r="75">
      <c r="B75" s="469" t="n"/>
      <c r="C75" s="454" t="n"/>
      <c r="D75" s="454" t="n"/>
      <c r="E75" s="454" t="n"/>
      <c r="F75" s="454" t="n"/>
      <c r="G75" s="454" t="n"/>
      <c r="H75" s="454" t="n"/>
      <c r="I75" s="454" t="n"/>
      <c r="J75" s="454" t="n"/>
      <c r="K75" s="470" t="n"/>
      <c r="L75" s="454" t="n"/>
      <c r="M75" s="454" t="n"/>
      <c r="N75" s="454" t="n"/>
      <c r="O75" s="454" t="n"/>
      <c r="P75" s="454" t="n"/>
      <c r="Q75" s="454" t="n"/>
      <c r="R75" s="454" t="n"/>
      <c r="S75" s="454" t="n"/>
      <c r="T75" s="454" t="n"/>
      <c r="U75" s="454" t="n"/>
      <c r="V75" s="454" t="n"/>
      <c r="W75" s="454" t="n"/>
      <c r="X75" s="455" t="n"/>
      <c r="AB75" s="469" t="n"/>
      <c r="AC75" s="454" t="n"/>
      <c r="AD75" s="454" t="n"/>
      <c r="AE75" s="454" t="n"/>
      <c r="AF75" s="454" t="n"/>
      <c r="AG75" s="454" t="n"/>
      <c r="AH75" s="454" t="n"/>
      <c r="AI75" s="454" t="n"/>
      <c r="AJ75" s="454" t="n"/>
      <c r="AK75" s="470" t="n"/>
      <c r="AL75" s="454" t="n"/>
      <c r="AM75" s="454" t="n"/>
      <c r="AN75" s="454" t="n"/>
      <c r="AO75" s="454" t="n"/>
      <c r="AP75" s="454" t="n"/>
      <c r="AQ75" s="454" t="n"/>
      <c r="AR75" s="454" t="n"/>
      <c r="AS75" s="454" t="n"/>
      <c r="AT75" s="454" t="n"/>
      <c r="AU75" s="454" t="n"/>
      <c r="AV75" s="454" t="n"/>
      <c r="AW75" s="454" t="n"/>
      <c r="AX75" s="455" t="n"/>
    </row>
    <row customHeight="1" ht="15.75" r="76">
      <c r="B76" s="63" t="n"/>
      <c r="C76" s="45" t="n"/>
      <c r="D76" s="82" t="inlineStr">
        <is>
          <t>RESERVA (ONAF) :</t>
        </is>
      </c>
      <c r="E76" s="471" t="inlineStr">
        <is>
          <t>TRAFO 01</t>
        </is>
      </c>
      <c r="F76" s="472" t="n"/>
      <c r="G76" s="473" t="n"/>
      <c r="H76" s="83" t="n"/>
      <c r="I76" s="84" t="n"/>
      <c r="J76" s="84" t="n"/>
      <c r="K76" s="84" t="n"/>
      <c r="L76" s="83" t="n"/>
      <c r="M76" s="474" t="inlineStr">
        <is>
          <t>TOTAL</t>
        </is>
      </c>
      <c r="N76" s="475" t="n"/>
      <c r="O76" s="476" t="n"/>
      <c r="X76" s="66" t="n"/>
      <c r="AB76" s="63" t="n"/>
      <c r="AC76" s="45" t="n"/>
      <c r="AD76" s="82" t="inlineStr">
        <is>
          <t>RESERVA (ONAF) :</t>
        </is>
      </c>
      <c r="AE76" s="471" t="inlineStr">
        <is>
          <t>TRAFO 01</t>
        </is>
      </c>
      <c r="AF76" s="472" t="n"/>
      <c r="AG76" s="473" t="n"/>
      <c r="AH76" s="83" t="n"/>
      <c r="AI76" s="84" t="n"/>
      <c r="AJ76" s="84" t="n"/>
      <c r="AK76" s="84" t="n"/>
      <c r="AL76" s="83" t="n"/>
      <c r="AM76" s="474" t="inlineStr">
        <is>
          <t>TOTAL</t>
        </is>
      </c>
      <c r="AN76" s="475" t="n"/>
      <c r="AO76" s="476" t="n"/>
      <c r="AX76" s="66" t="n"/>
    </row>
    <row customFormat="1" customHeight="1" ht="20.25" r="77" s="43">
      <c r="B77" s="63" t="n"/>
      <c r="C77" s="37" t="n"/>
      <c r="D77" s="85" t="n"/>
      <c r="E77" s="86" t="inlineStr">
        <is>
          <t>220 kV</t>
        </is>
      </c>
      <c r="F77" s="87">
        <f>50-F63</f>
        <v/>
      </c>
      <c r="G77" s="88" t="inlineStr">
        <is>
          <t>MVA</t>
        </is>
      </c>
      <c r="H77" s="89" t="n"/>
      <c r="I77" s="89" t="n"/>
      <c r="J77" s="90" t="n"/>
      <c r="K77" s="89" t="n"/>
      <c r="L77" s="89" t="n"/>
      <c r="M77" s="91" t="inlineStr">
        <is>
          <t>220 kV</t>
        </is>
      </c>
      <c r="N77" s="92">
        <f>+F77+J77</f>
        <v/>
      </c>
      <c r="O77" s="93" t="inlineStr">
        <is>
          <t>MVA</t>
        </is>
      </c>
      <c r="P77" s="37" t="n"/>
      <c r="Q77" s="37" t="n"/>
      <c r="R77" s="37" t="n"/>
      <c r="S77" s="37" t="n"/>
      <c r="T77" s="37" t="n"/>
      <c r="U77" s="37" t="n"/>
      <c r="V77" s="37" t="n"/>
      <c r="W77" s="37" t="n"/>
      <c r="X77" s="66" t="n"/>
      <c r="Y77" s="37" t="n"/>
      <c r="Z77" s="110" t="n"/>
      <c r="AA77" s="37" t="n"/>
      <c r="AB77" s="63" t="n"/>
      <c r="AC77" s="37" t="n"/>
      <c r="AD77" s="85" t="n"/>
      <c r="AE77" s="86" t="inlineStr">
        <is>
          <t>220 kV</t>
        </is>
      </c>
      <c r="AF77" s="87" t="n">
        <v>0</v>
      </c>
      <c r="AG77" s="88" t="inlineStr">
        <is>
          <t>MVA</t>
        </is>
      </c>
      <c r="AH77" s="89" t="n"/>
      <c r="AI77" s="89" t="n"/>
      <c r="AJ77" s="90" t="n"/>
      <c r="AK77" s="89" t="n"/>
      <c r="AL77" s="89" t="n"/>
      <c r="AM77" s="91" t="inlineStr">
        <is>
          <t>220 kV</t>
        </is>
      </c>
      <c r="AN77" s="92" t="n">
        <v>0</v>
      </c>
      <c r="AO77" s="93" t="inlineStr">
        <is>
          <t>MVA</t>
        </is>
      </c>
      <c r="AP77" s="112" t="n"/>
      <c r="AQ77" s="37" t="n"/>
      <c r="AR77" s="37" t="n"/>
      <c r="AS77" s="37" t="n"/>
      <c r="AT77" s="37" t="n"/>
      <c r="AU77" s="37" t="n"/>
      <c r="AV77" s="37" t="n"/>
      <c r="AW77" s="37" t="n"/>
      <c r="AX77" s="66" t="n"/>
    </row>
    <row customHeight="1" ht="26.25" r="78">
      <c r="B78" s="63" t="n"/>
      <c r="D78" s="85" t="n"/>
      <c r="E78" s="94" t="inlineStr">
        <is>
          <t>60 kV</t>
        </is>
      </c>
      <c r="F78" s="95">
        <f>50-L52</f>
        <v/>
      </c>
      <c r="G78" s="96" t="inlineStr">
        <is>
          <t>MVA</t>
        </is>
      </c>
      <c r="H78" s="89" t="n"/>
      <c r="I78" s="89" t="n"/>
      <c r="J78" s="90" t="n"/>
      <c r="K78" s="89" t="n"/>
      <c r="L78" s="89" t="n"/>
      <c r="M78" s="97" t="inlineStr">
        <is>
          <t>60 kV</t>
        </is>
      </c>
      <c r="N78" s="98">
        <f>+F78+J78</f>
        <v/>
      </c>
      <c r="O78" s="99" t="inlineStr">
        <is>
          <t>MVA</t>
        </is>
      </c>
      <c r="X78" s="66" t="n"/>
      <c r="AB78" s="63" t="n"/>
      <c r="AD78" s="85" t="n"/>
      <c r="AE78" s="94" t="inlineStr">
        <is>
          <t>60 kV</t>
        </is>
      </c>
      <c r="AF78" s="95">
        <f>$AJ$54-$AF$63</f>
        <v/>
      </c>
      <c r="AG78" s="96" t="inlineStr">
        <is>
          <t>MVA</t>
        </is>
      </c>
      <c r="AH78" s="89" t="n"/>
      <c r="AI78" s="89" t="n"/>
      <c r="AJ78" s="90" t="n"/>
      <c r="AK78" s="89" t="n"/>
      <c r="AL78" s="89" t="n"/>
      <c r="AM78" s="97" t="inlineStr">
        <is>
          <t>60 kV</t>
        </is>
      </c>
      <c r="AN78" s="98">
        <f>+AF78+AJ78</f>
        <v/>
      </c>
      <c r="AO78" s="99" t="inlineStr">
        <is>
          <t>MVA</t>
        </is>
      </c>
      <c r="AP78" s="111">
        <f>+IF(MID(SIGN($AN$78),1,1)="-","SOBRECARGA DEL TRAFO - ROTAR TRAFO","RESERVA_TOTAL_DEL_TRANSFORMADOR_DE_POTENCIA")</f>
        <v/>
      </c>
      <c r="AX78" s="66" t="n"/>
    </row>
    <row customHeight="1" ht="22.5" r="79">
      <c r="B79" s="63" t="n"/>
      <c r="D79" s="85" t="n"/>
      <c r="E79" s="100" t="inlineStr">
        <is>
          <t>10 kV</t>
        </is>
      </c>
      <c r="F79" s="101">
        <f>30-L63</f>
        <v/>
      </c>
      <c r="G79" s="102" t="inlineStr">
        <is>
          <t>MVA</t>
        </is>
      </c>
      <c r="H79" s="89" t="n"/>
      <c r="I79" s="89" t="n"/>
      <c r="J79" s="90" t="n"/>
      <c r="K79" s="89" t="n"/>
      <c r="L79" s="89" t="n"/>
      <c r="M79" s="103" t="inlineStr">
        <is>
          <t>10 kV</t>
        </is>
      </c>
      <c r="N79" s="104">
        <f>+J79+F79</f>
        <v/>
      </c>
      <c r="O79" s="105" t="inlineStr">
        <is>
          <t>MVA</t>
        </is>
      </c>
      <c r="P79" s="45" t="inlineStr">
        <is>
          <t>RESERVA TOTAL DEL TRANSFORMADOR DE POTENCIA</t>
        </is>
      </c>
      <c r="X79" s="66" t="n"/>
      <c r="AB79" s="63" t="n"/>
      <c r="AD79" s="85" t="n"/>
      <c r="AE79" s="117" t="inlineStr">
        <is>
          <t>22.9kK</t>
        </is>
      </c>
      <c r="AF79" s="116" t="n">
        <v>0</v>
      </c>
      <c r="AG79" s="96" t="inlineStr">
        <is>
          <t>MVA</t>
        </is>
      </c>
      <c r="AH79" s="89" t="n"/>
      <c r="AI79" s="89" t="n"/>
      <c r="AJ79" s="90" t="n"/>
      <c r="AK79" s="89" t="n"/>
      <c r="AL79" s="89" t="n"/>
      <c r="AM79" s="115" t="inlineStr">
        <is>
          <t>22.9kV</t>
        </is>
      </c>
      <c r="AN79" s="114" t="n">
        <v>0</v>
      </c>
      <c r="AO79" s="113" t="inlineStr">
        <is>
          <t>MVA</t>
        </is>
      </c>
      <c r="AP79" s="112" t="n"/>
      <c r="AX79" s="66" t="n"/>
    </row>
    <row customHeight="1" ht="24" r="80">
      <c r="B80" s="78" t="n"/>
      <c r="C80" s="79" t="n"/>
      <c r="D80" s="79" t="n"/>
      <c r="E80" s="79" t="n"/>
      <c r="F80" s="79" t="n"/>
      <c r="G80" s="79" t="n"/>
      <c r="H80" s="79" t="n"/>
      <c r="I80" s="79" t="n"/>
      <c r="J80" s="79" t="n"/>
      <c r="K80" s="106" t="n"/>
      <c r="L80" s="79" t="n"/>
      <c r="M80" s="79" t="n"/>
      <c r="N80" s="79" t="n"/>
      <c r="O80" s="79" t="n"/>
      <c r="P80" s="79" t="n"/>
      <c r="Q80" s="79" t="n"/>
      <c r="R80" s="79" t="n"/>
      <c r="S80" s="79" t="n"/>
      <c r="T80" s="79" t="n"/>
      <c r="U80" s="79" t="n"/>
      <c r="V80" s="79" t="n"/>
      <c r="W80" s="79" t="n"/>
      <c r="X80" s="81" t="n"/>
      <c r="AB80" s="63" t="n"/>
      <c r="AD80" s="85" t="n"/>
      <c r="AE80" s="100" t="inlineStr">
        <is>
          <t>10 kV</t>
        </is>
      </c>
      <c r="AF80" s="101">
        <f>$AJ$54-$AL$63</f>
        <v/>
      </c>
      <c r="AG80" s="102" t="inlineStr">
        <is>
          <t>MVA</t>
        </is>
      </c>
      <c r="AH80" s="89" t="n"/>
      <c r="AI80" s="89" t="n"/>
      <c r="AJ80" s="90" t="n"/>
      <c r="AK80" s="89" t="n"/>
      <c r="AL80" s="89" t="n"/>
      <c r="AM80" s="103" t="inlineStr">
        <is>
          <t>10 kV</t>
        </is>
      </c>
      <c r="AN80" s="104">
        <f>+AJ80+AF80</f>
        <v/>
      </c>
      <c r="AO80" s="105" t="inlineStr">
        <is>
          <t>MVA</t>
        </is>
      </c>
      <c r="AP80" s="111">
        <f>+IF(MID(SIGN($AN$80),1,1)="-","SOBRECARGA DEL TRAFO - ROTAR TRAFO","RESERVA_TOTAL_DEL_TRANSFORMADOR_DE_POTENCIA")</f>
        <v/>
      </c>
      <c r="AX80" s="66" t="n"/>
    </row>
    <row r="81">
      <c r="F81" s="646" t="n"/>
      <c r="Q81" s="52" t="n"/>
      <c r="R81" s="52" t="n"/>
      <c r="T81" s="52" t="n"/>
      <c r="U81" s="52" t="n"/>
      <c r="W81" s="52" t="n"/>
      <c r="X81" s="52" t="n"/>
      <c r="AB81" s="78" t="n"/>
      <c r="AC81" s="79" t="n"/>
      <c r="AD81" s="79" t="n"/>
      <c r="AE81" s="79" t="n"/>
      <c r="AF81" s="79" t="n"/>
      <c r="AG81" s="79" t="n"/>
      <c r="AH81" s="79" t="n"/>
      <c r="AI81" s="79" t="n"/>
      <c r="AJ81" s="79" t="n"/>
      <c r="AK81" s="106" t="n"/>
      <c r="AL81" s="79" t="n"/>
      <c r="AM81" s="79" t="n"/>
      <c r="AN81" s="79" t="n"/>
      <c r="AO81" s="79" t="n"/>
      <c r="AP81" s="79" t="n"/>
      <c r="AQ81" s="79" t="n"/>
      <c r="AR81" s="79" t="n"/>
      <c r="AS81" s="79" t="n"/>
      <c r="AT81" s="79" t="n"/>
      <c r="AU81" s="79" t="n"/>
      <c r="AV81" s="79" t="n"/>
      <c r="AW81" s="79" t="n"/>
      <c r="AX81" s="81" t="n"/>
    </row>
    <row r="82">
      <c r="AF82" s="646" t="n"/>
      <c r="AQ82" s="52" t="n"/>
      <c r="AR82" s="52" t="n"/>
      <c r="AT82" s="52" t="n"/>
      <c r="AU82" s="52" t="n"/>
      <c r="AW82" s="52" t="n"/>
      <c r="AX82" s="52" t="n"/>
    </row>
  </sheetData>
  <mergeCells count="8">
    <mergeCell ref="AI55:AJ55"/>
    <mergeCell ref="I52:J52"/>
    <mergeCell ref="I55:J55"/>
    <mergeCell ref="AI11:AJ11"/>
    <mergeCell ref="AI52:AJ52"/>
    <mergeCell ref="I11:J11"/>
    <mergeCell ref="I14:J14"/>
    <mergeCell ref="AI14:AJ14"/>
  </mergeCells>
  <printOptions horizontalCentered="1" verticalCentered="1"/>
  <pageMargins bottom="0.3937007874015748" footer="0" header="0" left="0.4724409448818898" right="0.2755905511811024" top="0.3149606299212598"/>
  <pageSetup orientation="portrait" paperSize="9" scale="37"/>
  <headerFooter alignWithMargins="0">
    <oddHeader>&amp;L&amp;"Calibri"&amp;1 &amp;K000000 Información Pública#_x000d_</oddHeader>
    <oddFooter>&amp;LA Ttito&amp;C25.09.2006&amp;RMALLA + PRISCO</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A1"/>
  <sheetViews>
    <sheetView workbookViewId="0">
      <selection activeCell="E18" sqref="E18"/>
    </sheetView>
  </sheetViews>
  <sheetFormatPr baseColWidth="10" defaultColWidth="11.42578125" defaultRowHeight="15"/>
  <cols>
    <col customWidth="1" max="8" min="5" width="11"/>
    <col customWidth="1" max="9" min="9" width="12.42578125"/>
    <col customWidth="1" max="10" min="10" width="12.5703125"/>
    <col customWidth="1" max="13" min="13" width="15.5703125"/>
  </cols>
  <sheetData/>
  <pageMargins bottom="0.75" footer="0.3" header="0.3" left="0.7" right="0.7" top="0.75"/>
  <headerFooter>
    <oddHeader>&amp;L&amp;"Calibri"&amp;1 &amp;K000000 Información Pública#_x000d_</oddHeader>
    <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I70"/>
  <sheetViews>
    <sheetView topLeftCell="A28" workbookViewId="0">
      <selection activeCell="E59" sqref="E59"/>
    </sheetView>
  </sheetViews>
  <sheetFormatPr baseColWidth="10" defaultColWidth="11.42578125" defaultRowHeight="15"/>
  <sheetData>
    <row r="1">
      <c r="A1" s="596" t="n"/>
      <c r="B1" s="596" t="n"/>
      <c r="C1" s="596" t="n"/>
      <c r="D1" s="596" t="n"/>
      <c r="E1" s="596" t="n"/>
      <c r="F1" s="596" t="n"/>
      <c r="G1" s="596" t="n"/>
      <c r="H1" s="596" t="n"/>
      <c r="I1" s="596" t="n"/>
    </row>
    <row customHeight="1" ht="17.25" r="2">
      <c r="A2" s="600" t="inlineStr">
        <is>
          <t>Flujo de carga - Reporte sumario</t>
        </is>
      </c>
    </row>
    <row r="3">
      <c r="A3" s="596" t="n"/>
      <c r="B3" s="596" t="n"/>
      <c r="C3" s="596" t="n"/>
      <c r="D3" s="596" t="n"/>
      <c r="E3" s="596" t="n"/>
      <c r="F3" s="596" t="n"/>
      <c r="G3" s="596" t="n"/>
      <c r="H3" s="596" t="n"/>
      <c r="I3" s="596" t="n"/>
    </row>
    <row r="4">
      <c r="A4" s="601" t="n"/>
      <c r="B4" s="647" t="n"/>
      <c r="C4" s="647" t="n"/>
      <c r="D4" s="647" t="n"/>
      <c r="E4" s="647" t="n"/>
      <c r="F4" s="647" t="n"/>
      <c r="G4" s="648" t="n"/>
      <c r="H4" s="596" t="n"/>
      <c r="I4" s="596" t="n"/>
    </row>
    <row customHeight="1" ht="15.75" r="5">
      <c r="A5" s="602" t="inlineStr">
        <is>
          <t>Parámetros del estudio</t>
        </is>
      </c>
      <c r="G5" s="649" t="n"/>
      <c r="H5" s="596" t="n"/>
      <c r="I5" s="596" t="n"/>
    </row>
    <row r="6">
      <c r="A6" s="585" t="n"/>
      <c r="B6" s="647" t="n"/>
      <c r="C6" s="647" t="n"/>
      <c r="D6" s="587" t="n"/>
      <c r="E6" s="647" t="n"/>
      <c r="F6" s="647" t="n"/>
      <c r="G6" s="648" t="n"/>
      <c r="H6" s="596" t="n"/>
      <c r="I6" s="596" t="n"/>
    </row>
    <row r="7">
      <c r="A7" s="573" t="inlineStr">
        <is>
          <t>Nombre del estudio</t>
        </is>
      </c>
      <c r="D7" s="597" t="inlineStr"/>
      <c r="G7" s="649" t="n"/>
      <c r="H7" s="596" t="n"/>
      <c r="I7" s="596" t="n"/>
    </row>
    <row r="8">
      <c r="A8" s="573" t="inlineStr">
        <is>
          <t>Fecha</t>
        </is>
      </c>
      <c r="D8" s="597" t="inlineStr">
        <is>
          <t>Fri Dec 22 2017</t>
        </is>
      </c>
      <c r="G8" s="649" t="n"/>
      <c r="H8" s="596" t="n"/>
      <c r="I8" s="596" t="n"/>
    </row>
    <row r="9">
      <c r="A9" s="573" t="inlineStr">
        <is>
          <t>Tiempo</t>
        </is>
      </c>
      <c r="D9" s="597" t="inlineStr">
        <is>
          <t>12h25m19s</t>
        </is>
      </c>
      <c r="G9" s="649" t="n"/>
      <c r="H9" s="596" t="n"/>
      <c r="I9" s="596" t="n"/>
    </row>
    <row r="10">
      <c r="A10" s="573" t="inlineStr">
        <is>
          <t>Nombre del proyecto</t>
        </is>
      </c>
      <c r="D10" s="597" t="inlineStr">
        <is>
          <t>Nuevo</t>
        </is>
      </c>
      <c r="G10" s="649" t="n"/>
      <c r="H10" s="596" t="n"/>
      <c r="I10" s="596" t="n"/>
    </row>
    <row r="11">
      <c r="A11" s="595" t="n"/>
      <c r="D11" s="575" t="n"/>
      <c r="G11" s="649" t="n"/>
      <c r="H11" s="596" t="n"/>
      <c r="I11" s="596" t="n"/>
    </row>
    <row r="12">
      <c r="A12" s="598" t="inlineStr">
        <is>
          <t>Método de cálculo</t>
        </is>
      </c>
      <c r="D12" s="599" t="inlineStr">
        <is>
          <t>Caída de tensión - Desequilibrada</t>
        </is>
      </c>
      <c r="G12" s="649" t="n"/>
      <c r="H12" s="596" t="n"/>
      <c r="I12" s="596" t="n"/>
    </row>
    <row r="13">
      <c r="A13" s="573" t="inlineStr">
        <is>
          <t xml:space="preserve">Precisión </t>
        </is>
      </c>
      <c r="D13" s="597" t="inlineStr">
        <is>
          <t>0.1 %</t>
        </is>
      </c>
      <c r="G13" s="649" t="n"/>
      <c r="H13" s="596" t="n"/>
      <c r="I13" s="596" t="n"/>
    </row>
    <row r="14">
      <c r="A14" s="573" t="inlineStr">
        <is>
          <t>Factores de carga</t>
        </is>
      </c>
      <c r="D14" s="597" t="inlineStr">
        <is>
          <t>Global (P=100.00%, Q=100.00%)</t>
        </is>
      </c>
      <c r="G14" s="649" t="n"/>
      <c r="H14" s="596" t="n"/>
      <c r="I14" s="596" t="n"/>
    </row>
    <row r="15">
      <c r="A15" s="573" t="inlineStr">
        <is>
          <t>Factores de motor</t>
        </is>
      </c>
      <c r="D15" s="597" t="inlineStr">
        <is>
          <t>Como definido</t>
        </is>
      </c>
      <c r="G15" s="649" t="n"/>
      <c r="H15" s="596" t="n"/>
      <c r="I15" s="596" t="n"/>
    </row>
    <row r="16">
      <c r="A16" s="573" t="inlineStr">
        <is>
          <t>Factores de generador</t>
        </is>
      </c>
      <c r="D16" s="597" t="inlineStr">
        <is>
          <t>Como definido</t>
        </is>
      </c>
      <c r="G16" s="649" t="n"/>
      <c r="H16" s="596" t="n"/>
      <c r="I16" s="596" t="n"/>
    </row>
    <row r="17">
      <c r="A17" s="573" t="inlineStr">
        <is>
          <t>Condensadores shunt</t>
        </is>
      </c>
      <c r="D17" s="597" t="inlineStr">
        <is>
          <t>On</t>
        </is>
      </c>
      <c r="G17" s="649" t="n"/>
      <c r="H17" s="596" t="n"/>
      <c r="I17" s="596" t="n"/>
    </row>
    <row r="18">
      <c r="A18" s="573" t="inlineStr">
        <is>
          <t>Modelo de carga de sensibilidad</t>
        </is>
      </c>
      <c r="D18" s="597" t="inlineStr">
        <is>
          <t>De la biblioteca</t>
        </is>
      </c>
      <c r="G18" s="649" t="n"/>
      <c r="H18" s="596" t="n"/>
      <c r="I18" s="596" t="n"/>
    </row>
    <row r="19">
      <c r="A19" s="576" t="n"/>
      <c r="B19" s="650" t="n"/>
      <c r="C19" s="650" t="n"/>
      <c r="D19" s="578" t="n"/>
      <c r="E19" s="650" t="n"/>
      <c r="F19" s="650" t="n"/>
      <c r="G19" s="651" t="n"/>
      <c r="H19" s="596" t="n"/>
      <c r="I19" s="596" t="n"/>
    </row>
    <row r="20">
      <c r="A20" s="596" t="n"/>
      <c r="B20" s="596" t="n"/>
      <c r="C20" s="596" t="n"/>
      <c r="D20" s="596" t="n"/>
      <c r="E20" s="596" t="n"/>
      <c r="F20" s="596" t="n"/>
      <c r="G20" s="596" t="n"/>
      <c r="H20" s="596" t="n"/>
      <c r="I20" s="596" t="n"/>
    </row>
    <row r="21">
      <c r="A21" s="596" t="n"/>
      <c r="B21" s="596" t="n"/>
      <c r="C21" s="596" t="n"/>
      <c r="D21" s="596" t="n"/>
      <c r="E21" s="596" t="n"/>
      <c r="F21" s="596" t="n"/>
      <c r="G21" s="596" t="n"/>
      <c r="H21" s="596" t="n"/>
      <c r="I21" s="596" t="n"/>
    </row>
    <row r="22">
      <c r="A22" s="589" t="n"/>
      <c r="B22" s="647" t="n"/>
      <c r="C22" s="647" t="n"/>
      <c r="D22" s="589" t="n"/>
      <c r="E22" s="589" t="n"/>
      <c r="F22" s="589" t="n"/>
      <c r="G22" s="601" t="n"/>
      <c r="H22" s="596" t="n"/>
      <c r="I22" s="596" t="n"/>
    </row>
    <row customHeight="1" ht="15.75" r="23">
      <c r="A23" s="581" t="inlineStr">
        <is>
          <t>Resumen total</t>
        </is>
      </c>
      <c r="D23" s="583" t="inlineStr">
        <is>
          <t>kW</t>
        </is>
      </c>
      <c r="E23" s="583" t="inlineStr">
        <is>
          <t>kvar</t>
        </is>
      </c>
      <c r="F23" s="583" t="inlineStr">
        <is>
          <t>kVA</t>
        </is>
      </c>
      <c r="G23" s="12" t="inlineStr">
        <is>
          <t>FP(%)</t>
        </is>
      </c>
      <c r="H23" s="596" t="n"/>
      <c r="I23" s="596" t="n"/>
    </row>
    <row r="24">
      <c r="A24" s="585" t="n"/>
      <c r="B24" s="647" t="n"/>
      <c r="C24" s="647" t="n"/>
      <c r="D24" s="585" t="n"/>
      <c r="E24" s="585" t="n"/>
      <c r="F24" s="585" t="n"/>
      <c r="G24" s="587" t="n"/>
      <c r="H24" s="596" t="n"/>
      <c r="I24" s="596" t="n"/>
    </row>
    <row r="25">
      <c r="A25" s="579" t="inlineStr">
        <is>
          <t>Fuentes (Potencia de equilibrio)</t>
        </is>
      </c>
      <c r="D25" s="580" t="n">
        <v>7861.727956048037</v>
      </c>
      <c r="E25" s="580" t="n">
        <v>2845.741431752664</v>
      </c>
      <c r="F25" s="580" t="n">
        <v>8360.921644848788</v>
      </c>
      <c r="G25" s="14" t="n">
        <v>94.02944184857532</v>
      </c>
      <c r="H25" s="596" t="n"/>
      <c r="I25" s="596" t="n"/>
    </row>
    <row r="26">
      <c r="A26" s="579" t="inlineStr">
        <is>
          <t>Generadores</t>
        </is>
      </c>
      <c r="D26" s="580" t="n">
        <v>0</v>
      </c>
      <c r="E26" s="580" t="n">
        <v>0</v>
      </c>
      <c r="F26" s="580" t="n">
        <v>0</v>
      </c>
      <c r="G26" s="14" t="n">
        <v>0</v>
      </c>
      <c r="H26" s="596" t="n"/>
      <c r="I26" s="596" t="n"/>
    </row>
    <row r="27">
      <c r="A27" s="594" t="inlineStr">
        <is>
          <t>Producción total</t>
        </is>
      </c>
      <c r="D27" s="15" t="n">
        <v>7861.727956048037</v>
      </c>
      <c r="E27" s="15" t="n">
        <v>2845.741431752664</v>
      </c>
      <c r="F27" s="15" t="n">
        <v>8360.921644848788</v>
      </c>
      <c r="G27" s="16" t="n">
        <v>94.02944184857532</v>
      </c>
      <c r="H27" s="596" t="n"/>
      <c r="I27" s="596" t="n"/>
    </row>
    <row r="28">
      <c r="A28" s="595" t="n"/>
      <c r="D28" s="595" t="n"/>
      <c r="E28" s="595" t="n"/>
      <c r="F28" s="595" t="n"/>
      <c r="G28" s="575" t="n"/>
      <c r="H28" s="596" t="n"/>
      <c r="I28" s="596" t="n"/>
    </row>
    <row r="29">
      <c r="A29" s="579" t="inlineStr">
        <is>
          <t>Carga leída (no regulada)</t>
        </is>
      </c>
      <c r="D29" s="580" t="n">
        <v>7810.862849279447</v>
      </c>
      <c r="E29" s="580" t="n">
        <v>4467.211138801001</v>
      </c>
      <c r="F29" s="580" t="n">
        <v>8998.086119218995</v>
      </c>
      <c r="G29" s="14" t="n">
        <v>86.80582454746948</v>
      </c>
      <c r="H29" s="596" t="n"/>
      <c r="I29" s="596" t="n"/>
    </row>
    <row r="30">
      <c r="A30" s="579" t="inlineStr">
        <is>
          <t>Carga utilizada (regulada)</t>
        </is>
      </c>
      <c r="D30" s="580" t="n">
        <v>7809.210342098353</v>
      </c>
      <c r="E30" s="580" t="n">
        <v>4466.530130146903</v>
      </c>
      <c r="F30" s="580" t="n">
        <v>8996.313554486969</v>
      </c>
      <c r="G30" s="14" t="n">
        <v>86.80455938758892</v>
      </c>
      <c r="H30" s="596" t="n"/>
      <c r="I30" s="596" t="n"/>
    </row>
    <row r="31">
      <c r="A31" s="579" t="inlineStr">
        <is>
          <t>Condensadores shunt (regulados)</t>
        </is>
      </c>
      <c r="D31" s="580" t="n">
        <v>0</v>
      </c>
      <c r="E31" s="580" t="n">
        <v>-1688.332523742868</v>
      </c>
      <c r="F31" s="580" t="n">
        <v>1688.332523742868</v>
      </c>
      <c r="G31" s="14" t="n">
        <v>0</v>
      </c>
      <c r="H31" s="596" t="n"/>
      <c r="I31" s="596" t="n"/>
    </row>
    <row r="32">
      <c r="A32" s="579" t="inlineStr">
        <is>
          <t>Reactancias shunt(reguladas)</t>
        </is>
      </c>
      <c r="D32" s="580" t="n">
        <v>0</v>
      </c>
      <c r="E32" s="580" t="n">
        <v>0</v>
      </c>
      <c r="F32" s="580" t="n">
        <v>0</v>
      </c>
      <c r="G32" s="14" t="n">
        <v>0</v>
      </c>
      <c r="H32" s="596" t="n"/>
      <c r="I32" s="596" t="n"/>
    </row>
    <row r="33">
      <c r="A33" s="579" t="inlineStr">
        <is>
          <t>Motores</t>
        </is>
      </c>
      <c r="D33" s="580" t="n">
        <v>0</v>
      </c>
      <c r="E33" s="580" t="n">
        <v>0</v>
      </c>
      <c r="F33" s="580" t="n">
        <v>0</v>
      </c>
      <c r="G33" s="14" t="n">
        <v>0</v>
      </c>
      <c r="H33" s="596" t="n"/>
      <c r="I33" s="596" t="n"/>
    </row>
    <row r="34">
      <c r="A34" s="594" t="inlineStr">
        <is>
          <t>Cargas totales</t>
        </is>
      </c>
      <c r="D34" s="15" t="n">
        <v>7809.210342098353</v>
      </c>
      <c r="E34" s="15" t="n">
        <v>2778.197606404035</v>
      </c>
      <c r="F34" s="15" t="n">
        <v>8288.675895905508</v>
      </c>
      <c r="G34" s="16" t="n">
        <v>94.21541438187968</v>
      </c>
      <c r="H34" s="596" t="n"/>
      <c r="I34" s="596" t="n"/>
    </row>
    <row r="35">
      <c r="A35" s="595" t="n"/>
      <c r="D35" s="595" t="n"/>
      <c r="E35" s="595" t="n"/>
      <c r="F35" s="595" t="n"/>
      <c r="G35" s="575" t="n"/>
      <c r="H35" s="596" t="n"/>
      <c r="I35" s="596" t="n"/>
    </row>
    <row r="36">
      <c r="A36" s="579" t="inlineStr">
        <is>
          <t>Capacitancia del cable</t>
        </is>
      </c>
      <c r="D36" s="580" t="n">
        <v>0</v>
      </c>
      <c r="E36" s="580" t="n">
        <v>-5.519628854576589</v>
      </c>
      <c r="F36" s="580" t="n">
        <v>5.519628854576589</v>
      </c>
      <c r="G36" s="14" t="n">
        <v>0</v>
      </c>
      <c r="H36" s="596" t="n"/>
      <c r="I36" s="596" t="n"/>
    </row>
    <row r="37">
      <c r="A37" s="579" t="inlineStr">
        <is>
          <t>Capacitancia de la línea</t>
        </is>
      </c>
      <c r="D37" s="580" t="n">
        <v>0</v>
      </c>
      <c r="E37" s="580" t="n">
        <v>-11.35537532514949</v>
      </c>
      <c r="F37" s="580" t="n">
        <v>11.35537532514949</v>
      </c>
      <c r="G37" s="14" t="n">
        <v>0</v>
      </c>
      <c r="H37" s="596" t="n"/>
      <c r="I37" s="596" t="n"/>
    </row>
    <row r="38">
      <c r="A38" s="594" t="inlineStr">
        <is>
          <t>Capacitancia shunt total</t>
        </is>
      </c>
      <c r="D38" s="15" t="n">
        <v>0</v>
      </c>
      <c r="E38" s="15" t="n">
        <v>-16.87500417972608</v>
      </c>
      <c r="F38" s="15" t="n">
        <v>16.87500417972608</v>
      </c>
      <c r="G38" s="16" t="n">
        <v>0</v>
      </c>
      <c r="H38" s="596" t="n"/>
      <c r="I38" s="596" t="n"/>
    </row>
    <row r="39">
      <c r="A39" s="595" t="n"/>
      <c r="D39" s="595" t="n"/>
      <c r="E39" s="595" t="n"/>
      <c r="F39" s="595" t="n"/>
      <c r="G39" s="575" t="n"/>
      <c r="H39" s="596" t="n"/>
      <c r="I39" s="596" t="n"/>
    </row>
    <row r="40">
      <c r="A40" s="579" t="inlineStr">
        <is>
          <t>Pérdidas en las líneas</t>
        </is>
      </c>
      <c r="D40" s="580" t="n">
        <v>49.49734293273129</v>
      </c>
      <c r="E40" s="580" t="n">
        <v>82.36494851835882</v>
      </c>
      <c r="F40" s="580" t="n">
        <v>96.09355702560032</v>
      </c>
      <c r="G40" s="14" t="n">
        <v>51.50953348469001</v>
      </c>
      <c r="H40" s="596" t="n"/>
      <c r="I40" s="596" t="n"/>
    </row>
    <row r="41">
      <c r="A41" s="579" t="inlineStr">
        <is>
          <t>Pérdidas en los cables</t>
        </is>
      </c>
      <c r="D41" s="580" t="n">
        <v>2.973890712299338</v>
      </c>
      <c r="E41" s="580" t="n">
        <v>2.053881009994594</v>
      </c>
      <c r="F41" s="580" t="n">
        <v>3.614201595361924</v>
      </c>
      <c r="G41" s="14" t="n">
        <v>82.28347627635681</v>
      </c>
      <c r="H41" s="596" t="n"/>
      <c r="I41" s="596" t="n"/>
    </row>
    <row r="42">
      <c r="A42" s="579" t="inlineStr">
        <is>
          <t>Pérdidas de carga del transformador</t>
        </is>
      </c>
      <c r="D42" s="580" t="n">
        <v>0</v>
      </c>
      <c r="E42" s="580" t="n">
        <v>0</v>
      </c>
      <c r="F42" s="580" t="n">
        <v>0</v>
      </c>
      <c r="G42" s="14" t="n">
        <v>0</v>
      </c>
      <c r="H42" s="596" t="n"/>
      <c r="I42" s="596" t="n"/>
    </row>
    <row r="43">
      <c r="A43" s="579" t="inlineStr">
        <is>
          <t>Pérdidas en vacío del transformador</t>
        </is>
      </c>
      <c r="D43" s="580" t="n">
        <v>0</v>
      </c>
      <c r="E43" s="580" t="n">
        <v>0</v>
      </c>
      <c r="F43" s="580" t="n">
        <v>0</v>
      </c>
      <c r="G43" s="14" t="n">
        <v>0</v>
      </c>
      <c r="H43" s="596" t="n"/>
      <c r="I43" s="596" t="n"/>
    </row>
    <row r="44">
      <c r="A44" s="594" t="inlineStr">
        <is>
          <t>Pérdidas totales</t>
        </is>
      </c>
      <c r="D44" s="15" t="n">
        <v>52.47123364503061</v>
      </c>
      <c r="E44" s="15" t="n">
        <v>84.41882952835346</v>
      </c>
      <c r="F44" s="15" t="n">
        <v>99.39702781858517</v>
      </c>
      <c r="G44" s="16" t="n">
        <v>52.78953988523546</v>
      </c>
      <c r="H44" s="596" t="n"/>
      <c r="I44" s="596" t="n"/>
    </row>
    <row r="45">
      <c r="A45" s="576" t="n"/>
      <c r="B45" s="650" t="n"/>
      <c r="C45" s="650" t="n"/>
      <c r="D45" s="576" t="n"/>
      <c r="E45" s="576" t="n"/>
      <c r="F45" s="576" t="n"/>
      <c r="G45" s="578" t="n"/>
      <c r="H45" s="596" t="n"/>
      <c r="I45" s="596" t="n"/>
    </row>
    <row r="46">
      <c r="A46" s="596" t="n"/>
      <c r="B46" s="596" t="n"/>
      <c r="C46" s="596" t="n"/>
      <c r="D46" s="596" t="n"/>
      <c r="E46" s="596" t="n"/>
      <c r="F46" s="596" t="n"/>
      <c r="G46" s="596" t="n"/>
      <c r="H46" s="596" t="n"/>
      <c r="I46" s="596" t="n"/>
    </row>
    <row r="47">
      <c r="A47" s="596" t="n"/>
      <c r="B47" s="596" t="n"/>
      <c r="C47" s="596" t="n"/>
      <c r="D47" s="596" t="n"/>
      <c r="E47" s="596" t="n"/>
      <c r="F47" s="596" t="n"/>
      <c r="G47" s="596" t="n"/>
      <c r="H47" s="596" t="n"/>
      <c r="I47" s="596" t="n"/>
    </row>
    <row r="48">
      <c r="A48" s="589" t="n"/>
      <c r="B48" s="647" t="n"/>
      <c r="C48" s="647" t="n"/>
      <c r="D48" s="589" t="n"/>
      <c r="E48" s="589" t="n"/>
      <c r="F48" s="589" t="n"/>
      <c r="G48" s="647" t="n"/>
      <c r="H48" s="647" t="n"/>
      <c r="I48" s="601" t="n"/>
    </row>
    <row customHeight="1" ht="15.75" r="49">
      <c r="A49" s="581" t="inlineStr">
        <is>
          <t>Condiciones anormales</t>
        </is>
      </c>
      <c r="D49" s="583" t="inlineStr">
        <is>
          <t>Fase</t>
        </is>
      </c>
      <c r="E49" s="583" t="inlineStr">
        <is>
          <t>Conteo</t>
        </is>
      </c>
      <c r="F49" s="583" t="inlineStr">
        <is>
          <t>Peor caso</t>
        </is>
      </c>
      <c r="I49" s="12" t="inlineStr">
        <is>
          <t>Valor</t>
        </is>
      </c>
    </row>
    <row r="50">
      <c r="A50" s="590" t="inlineStr"/>
      <c r="B50" s="647" t="n"/>
      <c r="C50" s="647" t="n"/>
      <c r="D50" s="17" t="inlineStr">
        <is>
          <t>A</t>
        </is>
      </c>
      <c r="E50" s="18" t="n">
        <v>10</v>
      </c>
      <c r="F50" s="590" t="inlineStr">
        <is>
          <t>SEC_1080_848857_848857</t>
        </is>
      </c>
      <c r="G50" s="647" t="n"/>
      <c r="H50" s="647" t="n"/>
      <c r="I50" s="19" t="inlineStr">
        <is>
          <t>111.50 %</t>
        </is>
      </c>
    </row>
    <row r="51">
      <c r="A51" s="573" t="inlineStr">
        <is>
          <t>Sobrecarga</t>
        </is>
      </c>
      <c r="D51" s="20" t="inlineStr">
        <is>
          <t>B</t>
        </is>
      </c>
      <c r="E51" s="21" t="n">
        <v>10</v>
      </c>
      <c r="F51" s="573" t="inlineStr">
        <is>
          <t>SEC_1080_848857_848857</t>
        </is>
      </c>
      <c r="I51" s="22" t="inlineStr">
        <is>
          <t>111.50 %</t>
        </is>
      </c>
    </row>
    <row r="52">
      <c r="A52" s="573" t="inlineStr"/>
      <c r="D52" s="20" t="inlineStr">
        <is>
          <t>C</t>
        </is>
      </c>
      <c r="E52" s="21" t="n">
        <v>10</v>
      </c>
      <c r="F52" s="573" t="inlineStr">
        <is>
          <t>SEC_1080_848857_848857</t>
        </is>
      </c>
      <c r="I52" s="22" t="inlineStr">
        <is>
          <t>111.50 %</t>
        </is>
      </c>
    </row>
    <row r="53">
      <c r="A53" s="590" t="inlineStr"/>
      <c r="B53" s="647" t="n"/>
      <c r="C53" s="647" t="n"/>
      <c r="D53" s="17" t="inlineStr">
        <is>
          <t>A</t>
        </is>
      </c>
      <c r="E53" s="18" t="n">
        <v>0</v>
      </c>
      <c r="F53" s="590" t="inlineStr">
        <is>
          <t>NODE_2010_326877_SE30738_VIRTUAL</t>
        </is>
      </c>
      <c r="G53" s="647" t="n"/>
      <c r="H53" s="647" t="n"/>
      <c r="I53" s="19" t="inlineStr">
        <is>
          <t>100.63 %</t>
        </is>
      </c>
    </row>
    <row r="54">
      <c r="A54" s="573" t="inlineStr">
        <is>
          <t>Subtensión</t>
        </is>
      </c>
      <c r="D54" s="20" t="inlineStr">
        <is>
          <t>B</t>
        </is>
      </c>
      <c r="E54" s="21" t="n">
        <v>0</v>
      </c>
      <c r="F54" s="573" t="inlineStr">
        <is>
          <t>NODE_2010_326877_SE30738_VIRTUAL</t>
        </is>
      </c>
      <c r="I54" s="22" t="inlineStr">
        <is>
          <t>100.63 %</t>
        </is>
      </c>
    </row>
    <row r="55">
      <c r="A55" s="573" t="inlineStr"/>
      <c r="D55" s="20" t="inlineStr">
        <is>
          <t>C</t>
        </is>
      </c>
      <c r="E55" s="21" t="n">
        <v>0</v>
      </c>
      <c r="F55" s="573" t="inlineStr">
        <is>
          <t>NODE_2010_326877_SE30738_VIRTUAL</t>
        </is>
      </c>
      <c r="I55" s="22" t="inlineStr">
        <is>
          <t>100.63 %</t>
        </is>
      </c>
    </row>
    <row r="56">
      <c r="A56" s="590" t="inlineStr"/>
      <c r="B56" s="647" t="n"/>
      <c r="C56" s="647" t="n"/>
      <c r="D56" s="17" t="inlineStr">
        <is>
          <t>A</t>
        </is>
      </c>
      <c r="E56" s="18" t="n">
        <v>0</v>
      </c>
      <c r="F56" s="590" t="inlineStr">
        <is>
          <t>NET_2030_154_PA108</t>
        </is>
      </c>
      <c r="G56" s="647" t="n"/>
      <c r="H56" s="647" t="n"/>
      <c r="I56" s="19" t="inlineStr">
        <is>
          <t>102.00 %</t>
        </is>
      </c>
    </row>
    <row r="57">
      <c r="A57" s="573" t="inlineStr">
        <is>
          <t>Sobretensión</t>
        </is>
      </c>
      <c r="D57" s="20" t="inlineStr">
        <is>
          <t>B</t>
        </is>
      </c>
      <c r="E57" s="21" t="n">
        <v>0</v>
      </c>
      <c r="F57" s="573" t="inlineStr">
        <is>
          <t>NET_2030_154_PA108</t>
        </is>
      </c>
      <c r="I57" s="22" t="inlineStr">
        <is>
          <t>102.00 %</t>
        </is>
      </c>
    </row>
    <row r="58">
      <c r="A58" s="588" t="inlineStr"/>
      <c r="B58" s="650" t="n"/>
      <c r="C58" s="650" t="n"/>
      <c r="D58" s="23" t="inlineStr">
        <is>
          <t>C</t>
        </is>
      </c>
      <c r="E58" s="24" t="n">
        <v>0</v>
      </c>
      <c r="F58" s="588" t="inlineStr">
        <is>
          <t>NET_2030_154_PA108</t>
        </is>
      </c>
      <c r="G58" s="650" t="n"/>
      <c r="H58" s="650" t="n"/>
      <c r="I58" s="25" t="inlineStr">
        <is>
          <t>102.00 %</t>
        </is>
      </c>
    </row>
    <row r="59">
      <c r="A59" s="596" t="n"/>
      <c r="B59" s="596" t="n"/>
      <c r="C59" s="596" t="n"/>
      <c r="D59" s="596" t="n"/>
      <c r="E59" s="596" t="n"/>
      <c r="F59" s="596" t="n"/>
      <c r="G59" s="596" t="n"/>
      <c r="H59" s="596" t="n"/>
      <c r="I59" s="596" t="n"/>
    </row>
    <row r="60">
      <c r="A60" s="596" t="n"/>
      <c r="B60" s="596" t="n"/>
      <c r="C60" s="596" t="n"/>
      <c r="D60" s="596" t="n"/>
      <c r="E60" s="596" t="n"/>
      <c r="F60" s="596" t="n"/>
      <c r="G60" s="596" t="n"/>
      <c r="H60" s="596" t="n"/>
      <c r="I60" s="596" t="n"/>
    </row>
    <row r="61">
      <c r="A61" s="589" t="n"/>
      <c r="B61" s="647" t="n"/>
      <c r="C61" s="647" t="n"/>
      <c r="D61" s="589" t="n"/>
      <c r="E61" s="589" t="n"/>
      <c r="F61" s="601" t="n"/>
      <c r="G61" s="648" t="n"/>
      <c r="H61" s="596" t="n"/>
      <c r="I61" s="596" t="n"/>
    </row>
    <row customHeight="1" ht="15.75" r="62">
      <c r="A62" s="581" t="inlineStr">
        <is>
          <t>Costo anual de las pérdidas del sistema</t>
        </is>
      </c>
      <c r="D62" s="583" t="inlineStr">
        <is>
          <t>kW</t>
        </is>
      </c>
      <c r="E62" s="583" t="inlineStr">
        <is>
          <t>MW-h/año</t>
        </is>
      </c>
      <c r="F62" s="12" t="inlineStr">
        <is>
          <t>k$/año</t>
        </is>
      </c>
      <c r="G62" s="649" t="n"/>
      <c r="H62" s="596" t="n"/>
      <c r="I62" s="596" t="n"/>
    </row>
    <row r="63">
      <c r="A63" s="585" t="n"/>
      <c r="B63" s="647" t="n"/>
      <c r="C63" s="647" t="n"/>
      <c r="D63" s="585" t="n"/>
      <c r="E63" s="585" t="n"/>
      <c r="F63" s="587" t="n"/>
      <c r="G63" s="648" t="n"/>
      <c r="H63" s="596" t="n"/>
      <c r="I63" s="596" t="n"/>
    </row>
    <row r="64">
      <c r="A64" s="579" t="inlineStr">
        <is>
          <t>Pérdidas en las líneas</t>
        </is>
      </c>
      <c r="D64" s="580" t="n">
        <v>49.49734293273129</v>
      </c>
      <c r="E64" s="580" t="n">
        <v>433.5967240907259</v>
      </c>
      <c r="F64" s="14" t="n">
        <v>43.35967240907259</v>
      </c>
      <c r="G64" s="649" t="n"/>
      <c r="H64" s="596" t="n"/>
      <c r="I64" s="596" t="n"/>
    </row>
    <row r="65">
      <c r="A65" s="579" t="inlineStr">
        <is>
          <t>Pérdidas en los cables</t>
        </is>
      </c>
      <c r="D65" s="580" t="n">
        <v>2.973890712299338</v>
      </c>
      <c r="E65" s="580" t="n">
        <v>26.05128263974219</v>
      </c>
      <c r="F65" s="14" t="n">
        <v>2.605128263974219</v>
      </c>
      <c r="G65" s="649" t="n"/>
      <c r="H65" s="596" t="n"/>
      <c r="I65" s="596" t="n"/>
    </row>
    <row r="66">
      <c r="A66" s="579" t="inlineStr">
        <is>
          <t>Pérdidas de carga del transformador</t>
        </is>
      </c>
      <c r="D66" s="580" t="n">
        <v>0</v>
      </c>
      <c r="E66" s="580" t="n">
        <v>0</v>
      </c>
      <c r="F66" s="14" t="n">
        <v>0</v>
      </c>
      <c r="G66" s="649" t="n"/>
      <c r="H66" s="596" t="n"/>
      <c r="I66" s="596" t="n"/>
    </row>
    <row r="67">
      <c r="A67" s="579" t="inlineStr">
        <is>
          <t>Pérdidas en vacío del transformador</t>
        </is>
      </c>
      <c r="D67" s="580" t="n">
        <v>0</v>
      </c>
      <c r="E67" s="580" t="n">
        <v>0</v>
      </c>
      <c r="F67" s="14" t="n">
        <v>0</v>
      </c>
      <c r="G67" s="649" t="n"/>
      <c r="H67" s="596" t="n"/>
      <c r="I67" s="596" t="n"/>
    </row>
    <row r="68">
      <c r="A68" s="571" t="inlineStr">
        <is>
          <t>Pérdidas totales</t>
        </is>
      </c>
      <c r="D68" s="574" t="n">
        <v>52.47123364503061</v>
      </c>
      <c r="E68" s="574" t="n">
        <v>459.648006730468</v>
      </c>
      <c r="F68" s="652" t="n">
        <v>45.9648006730468</v>
      </c>
      <c r="G68" s="649" t="n"/>
      <c r="H68" s="596" t="n"/>
      <c r="I68" s="596" t="n"/>
    </row>
    <row r="69">
      <c r="A69" s="576" t="n"/>
      <c r="B69" s="650" t="n"/>
      <c r="C69" s="650" t="n"/>
      <c r="D69" s="576" t="n"/>
      <c r="E69" s="576" t="n"/>
      <c r="F69" s="578" t="n"/>
      <c r="G69" s="651" t="n"/>
      <c r="H69" s="596" t="n"/>
      <c r="I69" s="596" t="n"/>
    </row>
    <row r="70">
      <c r="A70" s="596" t="n"/>
      <c r="B70" s="596" t="n"/>
      <c r="C70" s="596" t="n"/>
      <c r="D70" s="596" t="n"/>
      <c r="E70" s="596" t="n"/>
      <c r="F70" s="596" t="n"/>
      <c r="G70" s="596" t="n"/>
      <c r="H70" s="596" t="n"/>
      <c r="I70" s="596" t="n"/>
    </row>
  </sheetData>
  <mergeCells count="95">
    <mergeCell ref="A7:C7"/>
    <mergeCell ref="D7:G7"/>
    <mergeCell ref="A2:I2"/>
    <mergeCell ref="A4:G4"/>
    <mergeCell ref="A5:G5"/>
    <mergeCell ref="A6:C6"/>
    <mergeCell ref="D6:G6"/>
    <mergeCell ref="A8:C8"/>
    <mergeCell ref="D8:G8"/>
    <mergeCell ref="A9:C9"/>
    <mergeCell ref="D9:G9"/>
    <mergeCell ref="A10:C10"/>
    <mergeCell ref="D10:G10"/>
    <mergeCell ref="A11:C11"/>
    <mergeCell ref="D11:G11"/>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 ref="A19:C19"/>
    <mergeCell ref="D19:G19"/>
    <mergeCell ref="A33:C33"/>
    <mergeCell ref="A22:C22"/>
    <mergeCell ref="A23:C23"/>
    <mergeCell ref="A24:C24"/>
    <mergeCell ref="A25:C25"/>
    <mergeCell ref="A26:C26"/>
    <mergeCell ref="A27:C27"/>
    <mergeCell ref="A28:C28"/>
    <mergeCell ref="A29:C29"/>
    <mergeCell ref="A30:C30"/>
    <mergeCell ref="A31:C31"/>
    <mergeCell ref="A32:C32"/>
    <mergeCell ref="A45:C45"/>
    <mergeCell ref="A34:C34"/>
    <mergeCell ref="A35:C35"/>
    <mergeCell ref="A36:C36"/>
    <mergeCell ref="A37:C37"/>
    <mergeCell ref="A38:C38"/>
    <mergeCell ref="A39:C39"/>
    <mergeCell ref="A40:C40"/>
    <mergeCell ref="A41:C41"/>
    <mergeCell ref="A42:C42"/>
    <mergeCell ref="A43:C43"/>
    <mergeCell ref="A44:C44"/>
    <mergeCell ref="A48:C48"/>
    <mergeCell ref="F48:H48"/>
    <mergeCell ref="A49:C49"/>
    <mergeCell ref="F49:H49"/>
    <mergeCell ref="A50:C50"/>
    <mergeCell ref="F50:H50"/>
    <mergeCell ref="A51:C51"/>
    <mergeCell ref="F51:H51"/>
    <mergeCell ref="A52:C52"/>
    <mergeCell ref="F52:H52"/>
    <mergeCell ref="A53:C53"/>
    <mergeCell ref="F53:H53"/>
    <mergeCell ref="A54:C54"/>
    <mergeCell ref="F54:H54"/>
    <mergeCell ref="A55:C55"/>
    <mergeCell ref="F55:H55"/>
    <mergeCell ref="A56:C56"/>
    <mergeCell ref="F56:H56"/>
    <mergeCell ref="A57:C57"/>
    <mergeCell ref="F57:H57"/>
    <mergeCell ref="A58:C58"/>
    <mergeCell ref="F58:H58"/>
    <mergeCell ref="A61:C61"/>
    <mergeCell ref="F61:G61"/>
    <mergeCell ref="A62:C62"/>
    <mergeCell ref="F62:G62"/>
    <mergeCell ref="A63:C63"/>
    <mergeCell ref="F63:G63"/>
    <mergeCell ref="A64:C64"/>
    <mergeCell ref="F64:G64"/>
    <mergeCell ref="A68:C68"/>
    <mergeCell ref="F68:G68"/>
    <mergeCell ref="A69:C69"/>
    <mergeCell ref="F69:G69"/>
    <mergeCell ref="A65:C65"/>
    <mergeCell ref="F65:G65"/>
    <mergeCell ref="A66:C66"/>
    <mergeCell ref="F66:G66"/>
    <mergeCell ref="A67:C67"/>
    <mergeCell ref="F67:G67"/>
  </mergeCells>
  <pageMargins bottom="0.75" footer="0.3" header="0.3" left="0.7" right="0.7" top="0.75"/>
  <headerFooter>
    <oddHeader>&amp;L&amp;"Calibri"&amp;1 &amp;K000000 Información Pública#_x000d_</oddHeader>
    <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J70"/>
  <sheetViews>
    <sheetView topLeftCell="A31" workbookViewId="0">
      <selection activeCell="N29" sqref="N29"/>
    </sheetView>
  </sheetViews>
  <sheetFormatPr baseColWidth="10" defaultColWidth="11.42578125" defaultRowHeight="15"/>
  <sheetData>
    <row r="1">
      <c r="A1" s="596" t="n"/>
      <c r="B1" s="596" t="n"/>
      <c r="C1" s="596" t="n"/>
      <c r="D1" s="596" t="n"/>
      <c r="E1" s="596" t="n"/>
      <c r="F1" s="596" t="n"/>
      <c r="G1" s="596" t="n"/>
      <c r="H1" s="596" t="n"/>
      <c r="I1" s="596" t="n"/>
      <c r="J1" s="27" t="n"/>
    </row>
    <row customHeight="1" ht="17.25" r="2">
      <c r="A2" s="600" t="inlineStr">
        <is>
          <t>Flujo de carga - Reporte sumario</t>
        </is>
      </c>
      <c r="J2" s="27" t="n"/>
    </row>
    <row r="3">
      <c r="A3" s="596" t="n"/>
      <c r="B3" s="596" t="n"/>
      <c r="C3" s="596" t="n"/>
      <c r="D3" s="596" t="n"/>
      <c r="E3" s="596" t="n"/>
      <c r="F3" s="596" t="n"/>
      <c r="G3" s="596" t="n"/>
      <c r="H3" s="596" t="n"/>
      <c r="I3" s="596" t="n"/>
      <c r="J3" s="27" t="n"/>
    </row>
    <row r="4">
      <c r="A4" s="601" t="n"/>
      <c r="B4" s="647" t="n"/>
      <c r="C4" s="647" t="n"/>
      <c r="D4" s="647" t="n"/>
      <c r="E4" s="647" t="n"/>
      <c r="F4" s="647" t="n"/>
      <c r="G4" s="648" t="n"/>
      <c r="H4" s="596" t="n"/>
      <c r="I4" s="596" t="n"/>
      <c r="J4" s="27" t="n"/>
    </row>
    <row customHeight="1" ht="15.75" r="5">
      <c r="A5" s="602" t="inlineStr">
        <is>
          <t>Parámetros del estudio</t>
        </is>
      </c>
      <c r="G5" s="649" t="n"/>
      <c r="H5" s="596" t="n"/>
      <c r="I5" s="596" t="n"/>
      <c r="J5" s="27" t="n"/>
    </row>
    <row r="6">
      <c r="A6" s="585" t="n"/>
      <c r="B6" s="647" t="n"/>
      <c r="C6" s="647" t="n"/>
      <c r="D6" s="587" t="n"/>
      <c r="E6" s="647" t="n"/>
      <c r="F6" s="647" t="n"/>
      <c r="G6" s="648" t="n"/>
      <c r="H6" s="596" t="n"/>
      <c r="I6" s="596" t="n"/>
      <c r="J6" s="27" t="n"/>
    </row>
    <row r="7">
      <c r="A7" s="573" t="inlineStr">
        <is>
          <t>Nombre del estudio</t>
        </is>
      </c>
      <c r="D7" s="597" t="inlineStr"/>
      <c r="G7" s="649" t="n"/>
      <c r="H7" s="596" t="n"/>
      <c r="I7" s="596" t="n"/>
      <c r="J7" s="27" t="n"/>
    </row>
    <row r="8">
      <c r="A8" s="573" t="inlineStr">
        <is>
          <t>Fecha</t>
        </is>
      </c>
      <c r="D8" s="597" t="inlineStr">
        <is>
          <t>Fri Dec 22 2017</t>
        </is>
      </c>
      <c r="G8" s="649" t="n"/>
      <c r="H8" s="596" t="n"/>
      <c r="I8" s="596" t="n"/>
      <c r="J8" s="27" t="n"/>
    </row>
    <row r="9">
      <c r="A9" s="573" t="inlineStr">
        <is>
          <t>Tiempo</t>
        </is>
      </c>
      <c r="D9" s="597" t="inlineStr">
        <is>
          <t>12h39m51s</t>
        </is>
      </c>
      <c r="G9" s="649" t="n"/>
      <c r="H9" s="596" t="n"/>
      <c r="I9" s="596" t="n"/>
      <c r="J9" s="27" t="n"/>
    </row>
    <row r="10">
      <c r="A10" s="573" t="inlineStr">
        <is>
          <t>Nombre del proyecto</t>
        </is>
      </c>
      <c r="D10" s="597" t="inlineStr">
        <is>
          <t>Nuevo</t>
        </is>
      </c>
      <c r="G10" s="649" t="n"/>
      <c r="H10" s="596" t="n"/>
      <c r="I10" s="596" t="n"/>
      <c r="J10" s="27" t="n"/>
    </row>
    <row r="11">
      <c r="A11" s="595" t="n"/>
      <c r="D11" s="575" t="n"/>
      <c r="G11" s="649" t="n"/>
      <c r="H11" s="596" t="n"/>
      <c r="I11" s="596" t="n"/>
      <c r="J11" s="27" t="n"/>
    </row>
    <row r="12">
      <c r="A12" s="598" t="inlineStr">
        <is>
          <t>Método de cálculo</t>
        </is>
      </c>
      <c r="D12" s="599" t="inlineStr">
        <is>
          <t>Caída de tensión - Desequilibrada</t>
        </is>
      </c>
      <c r="G12" s="649" t="n"/>
      <c r="H12" s="596" t="n"/>
      <c r="I12" s="596" t="n"/>
      <c r="J12" s="27" t="n"/>
    </row>
    <row r="13">
      <c r="A13" s="573" t="inlineStr">
        <is>
          <t xml:space="preserve">Precisión </t>
        </is>
      </c>
      <c r="D13" s="597" t="inlineStr">
        <is>
          <t>0.1 %</t>
        </is>
      </c>
      <c r="G13" s="649" t="n"/>
      <c r="H13" s="596" t="n"/>
      <c r="I13" s="596" t="n"/>
      <c r="J13" s="27" t="n"/>
    </row>
    <row r="14">
      <c r="A14" s="573" t="inlineStr">
        <is>
          <t>Factores de carga</t>
        </is>
      </c>
      <c r="D14" s="597" t="inlineStr">
        <is>
          <t>Global (P=100.00%, Q=100.00%)</t>
        </is>
      </c>
      <c r="G14" s="649" t="n"/>
      <c r="H14" s="596" t="n"/>
      <c r="I14" s="596" t="n"/>
      <c r="J14" s="27" t="n"/>
    </row>
    <row r="15">
      <c r="A15" s="573" t="inlineStr">
        <is>
          <t>Factores de motor</t>
        </is>
      </c>
      <c r="D15" s="597" t="inlineStr">
        <is>
          <t>Como definido</t>
        </is>
      </c>
      <c r="G15" s="649" t="n"/>
      <c r="H15" s="596" t="n"/>
      <c r="I15" s="596" t="n"/>
      <c r="J15" s="27" t="n"/>
    </row>
    <row r="16">
      <c r="A16" s="573" t="inlineStr">
        <is>
          <t>Factores de generador</t>
        </is>
      </c>
      <c r="D16" s="597" t="inlineStr">
        <is>
          <t>Como definido</t>
        </is>
      </c>
      <c r="G16" s="649" t="n"/>
      <c r="H16" s="596" t="n"/>
      <c r="I16" s="596" t="n"/>
      <c r="J16" s="27" t="n"/>
    </row>
    <row r="17">
      <c r="A17" s="573" t="inlineStr">
        <is>
          <t>Condensadores shunt</t>
        </is>
      </c>
      <c r="D17" s="597" t="inlineStr">
        <is>
          <t>On</t>
        </is>
      </c>
      <c r="G17" s="649" t="n"/>
      <c r="H17" s="596" t="n"/>
      <c r="I17" s="596" t="n"/>
      <c r="J17" s="27" t="n"/>
    </row>
    <row r="18">
      <c r="A18" s="573" t="inlineStr">
        <is>
          <t>Modelo de carga de sensibilidad</t>
        </is>
      </c>
      <c r="D18" s="597" t="inlineStr">
        <is>
          <t>De la biblioteca</t>
        </is>
      </c>
      <c r="G18" s="649" t="n"/>
      <c r="H18" s="596" t="n"/>
      <c r="I18" s="596" t="n"/>
      <c r="J18" s="27" t="n"/>
    </row>
    <row r="19">
      <c r="A19" s="576" t="n"/>
      <c r="B19" s="650" t="n"/>
      <c r="C19" s="650" t="n"/>
      <c r="D19" s="578" t="n"/>
      <c r="E19" s="650" t="n"/>
      <c r="F19" s="650" t="n"/>
      <c r="G19" s="651" t="n"/>
      <c r="H19" s="596" t="n"/>
      <c r="I19" s="596" t="n"/>
      <c r="J19" s="27" t="n"/>
    </row>
    <row r="20">
      <c r="A20" s="596" t="n"/>
      <c r="B20" s="596" t="n"/>
      <c r="C20" s="596" t="n"/>
      <c r="D20" s="596" t="n"/>
      <c r="E20" s="596" t="n"/>
      <c r="F20" s="596" t="n"/>
      <c r="G20" s="596" t="n"/>
      <c r="H20" s="596" t="n"/>
      <c r="I20" s="596" t="n"/>
      <c r="J20" s="27" t="n"/>
    </row>
    <row r="21">
      <c r="A21" s="596" t="n"/>
      <c r="B21" s="596" t="n"/>
      <c r="C21" s="596" t="n"/>
      <c r="D21" s="596" t="n"/>
      <c r="E21" s="596" t="n"/>
      <c r="F21" s="596" t="n"/>
      <c r="G21" s="596" t="n"/>
      <c r="H21" s="596" t="n"/>
      <c r="I21" s="596" t="n"/>
      <c r="J21" s="27" t="n"/>
    </row>
    <row r="22">
      <c r="A22" s="589" t="n"/>
      <c r="B22" s="647" t="n"/>
      <c r="C22" s="647" t="n"/>
      <c r="D22" s="589" t="n"/>
      <c r="E22" s="589" t="n"/>
      <c r="F22" s="589" t="n"/>
      <c r="G22" s="601" t="n"/>
      <c r="H22" s="596" t="n"/>
      <c r="I22" s="596" t="n"/>
      <c r="J22" s="27" t="n"/>
    </row>
    <row customHeight="1" ht="15.75" r="23">
      <c r="A23" s="581" t="inlineStr">
        <is>
          <t>Resumen total</t>
        </is>
      </c>
      <c r="D23" s="583" t="inlineStr">
        <is>
          <t>kW</t>
        </is>
      </c>
      <c r="E23" s="583" t="inlineStr">
        <is>
          <t>kvar</t>
        </is>
      </c>
      <c r="F23" s="583" t="inlineStr">
        <is>
          <t>kVA</t>
        </is>
      </c>
      <c r="G23" s="12" t="inlineStr">
        <is>
          <t>FP(%)</t>
        </is>
      </c>
      <c r="H23" s="596" t="n"/>
      <c r="I23" s="596" t="n"/>
      <c r="J23" s="27" t="n"/>
    </row>
    <row r="24">
      <c r="A24" s="585" t="n"/>
      <c r="B24" s="647" t="n"/>
      <c r="C24" s="647" t="n"/>
      <c r="D24" s="585" t="n"/>
      <c r="E24" s="585" t="n"/>
      <c r="F24" s="585" t="n"/>
      <c r="G24" s="587" t="n"/>
      <c r="H24" s="596" t="n"/>
      <c r="I24" s="596" t="n"/>
      <c r="J24" s="27" t="n"/>
    </row>
    <row r="25">
      <c r="A25" s="579" t="inlineStr">
        <is>
          <t>Fuentes (Potencia de equilibrio)</t>
        </is>
      </c>
      <c r="D25" s="580" t="n">
        <v>8572.172748842504</v>
      </c>
      <c r="E25" s="580" t="n">
        <v>3096.565222104919</v>
      </c>
      <c r="F25" s="580" t="n">
        <v>9114.321796532517</v>
      </c>
      <c r="G25" s="14" t="n">
        <v>94.05167976517714</v>
      </c>
      <c r="H25" s="596" t="n"/>
      <c r="I25" s="596" t="n"/>
      <c r="J25" s="27" t="n"/>
    </row>
    <row r="26">
      <c r="A26" s="579" t="inlineStr">
        <is>
          <t>Generadores</t>
        </is>
      </c>
      <c r="D26" s="580" t="n">
        <v>0</v>
      </c>
      <c r="E26" s="580" t="n">
        <v>0</v>
      </c>
      <c r="F26" s="580" t="n">
        <v>0</v>
      </c>
      <c r="G26" s="14" t="n">
        <v>0</v>
      </c>
      <c r="H26" s="596" t="n"/>
      <c r="I26" s="596" t="n"/>
      <c r="J26" s="27" t="n"/>
    </row>
    <row r="27">
      <c r="A27" s="594" t="inlineStr">
        <is>
          <t>Producción total</t>
        </is>
      </c>
      <c r="D27" s="15" t="n">
        <v>8572.172748842504</v>
      </c>
      <c r="E27" s="15" t="n">
        <v>3096.565222104919</v>
      </c>
      <c r="F27" s="15" t="n">
        <v>9114.321796532517</v>
      </c>
      <c r="G27" s="16" t="n">
        <v>94.05167976517714</v>
      </c>
      <c r="H27" s="596" t="n"/>
      <c r="I27" s="596" t="n"/>
      <c r="J27" s="27" t="n"/>
    </row>
    <row r="28">
      <c r="A28" s="595" t="n"/>
      <c r="D28" s="595" t="n"/>
      <c r="E28" s="595" t="n"/>
      <c r="F28" s="595" t="n"/>
      <c r="G28" s="575" t="n"/>
      <c r="H28" s="596" t="n"/>
      <c r="I28" s="596" t="n"/>
      <c r="J28" s="27" t="n"/>
    </row>
    <row r="29">
      <c r="A29" s="579" t="inlineStr">
        <is>
          <t>Carga leída (no regulada)</t>
        </is>
      </c>
      <c r="D29" s="580" t="n">
        <v>8510.862849279447</v>
      </c>
      <c r="E29" s="580" t="n">
        <v>4697.290012426205</v>
      </c>
      <c r="F29" s="580" t="n">
        <v>9721.076066983738</v>
      </c>
      <c r="G29" s="14" t="n">
        <v>87.55062495792404</v>
      </c>
      <c r="H29" s="596" t="n"/>
      <c r="I29" s="596" t="n"/>
      <c r="J29" s="27" t="n"/>
    </row>
    <row r="30">
      <c r="A30" s="579" t="inlineStr">
        <is>
          <t>Carga utilizada (regulada)</t>
        </is>
      </c>
      <c r="D30" s="580" t="n">
        <v>8508.616894795594</v>
      </c>
      <c r="E30" s="580" t="n">
        <v>4696.400991841261</v>
      </c>
      <c r="F30" s="580" t="n">
        <v>9718.680143855368</v>
      </c>
      <c r="G30" s="14" t="n">
        <v>87.5490989398922</v>
      </c>
      <c r="H30" s="596" t="n"/>
      <c r="I30" s="596" t="n"/>
      <c r="J30" s="27" t="n"/>
    </row>
    <row r="31">
      <c r="A31" s="579" t="inlineStr">
        <is>
          <t>Condensadores shunt (regulados)</t>
        </is>
      </c>
      <c r="D31" s="580" t="n">
        <v>0</v>
      </c>
      <c r="E31" s="580" t="n">
        <v>-1685.21079897508</v>
      </c>
      <c r="F31" s="580" t="n">
        <v>1685.21079897508</v>
      </c>
      <c r="G31" s="14" t="n">
        <v>0</v>
      </c>
      <c r="H31" s="596" t="n"/>
      <c r="I31" s="596" t="n"/>
      <c r="J31" s="27" t="n"/>
    </row>
    <row r="32">
      <c r="A32" s="579" t="inlineStr">
        <is>
          <t>Reactancias shunt(reguladas)</t>
        </is>
      </c>
      <c r="D32" s="580" t="n">
        <v>0</v>
      </c>
      <c r="E32" s="580" t="n">
        <v>0</v>
      </c>
      <c r="F32" s="580" t="n">
        <v>0</v>
      </c>
      <c r="G32" s="14" t="n">
        <v>0</v>
      </c>
      <c r="H32" s="596" t="n"/>
      <c r="I32" s="596" t="n"/>
      <c r="J32" s="27" t="n"/>
    </row>
    <row r="33">
      <c r="A33" s="579" t="inlineStr">
        <is>
          <t>Motores</t>
        </is>
      </c>
      <c r="D33" s="580" t="n">
        <v>0</v>
      </c>
      <c r="E33" s="580" t="n">
        <v>0</v>
      </c>
      <c r="F33" s="580" t="n">
        <v>0</v>
      </c>
      <c r="G33" s="14" t="n">
        <v>0</v>
      </c>
      <c r="H33" s="596" t="n"/>
      <c r="I33" s="596" t="n"/>
      <c r="J33" s="27" t="n"/>
    </row>
    <row r="34">
      <c r="A34" s="594" t="inlineStr">
        <is>
          <t>Cargas totales</t>
        </is>
      </c>
      <c r="D34" s="15" t="n">
        <v>8508.616894795594</v>
      </c>
      <c r="E34" s="15" t="n">
        <v>3011.190192866181</v>
      </c>
      <c r="F34" s="15" t="n">
        <v>9025.731429641284</v>
      </c>
      <c r="G34" s="16" t="n">
        <v>94.27066339302496</v>
      </c>
      <c r="H34" s="596" t="n"/>
      <c r="I34" s="596" t="n"/>
      <c r="J34" s="27" t="n"/>
    </row>
    <row r="35">
      <c r="A35" s="595" t="n"/>
      <c r="D35" s="595" t="n"/>
      <c r="E35" s="595" t="n"/>
      <c r="F35" s="595" t="n"/>
      <c r="G35" s="575" t="n"/>
      <c r="H35" s="596" t="n"/>
      <c r="I35" s="596" t="n"/>
      <c r="J35" s="27" t="n"/>
    </row>
    <row r="36">
      <c r="A36" s="579" t="inlineStr">
        <is>
          <t>Capacitancia del cable</t>
        </is>
      </c>
      <c r="D36" s="580" t="n">
        <v>0</v>
      </c>
      <c r="E36" s="580" t="n">
        <v>-5.513747726470248</v>
      </c>
      <c r="F36" s="580" t="n">
        <v>5.513747726470248</v>
      </c>
      <c r="G36" s="14" t="n">
        <v>0</v>
      </c>
      <c r="H36" s="596" t="n"/>
      <c r="I36" s="596" t="n"/>
      <c r="J36" s="27" t="n"/>
    </row>
    <row r="37">
      <c r="A37" s="579" t="inlineStr">
        <is>
          <t>Capacitancia de la línea</t>
        </is>
      </c>
      <c r="D37" s="580" t="n">
        <v>0</v>
      </c>
      <c r="E37" s="580" t="n">
        <v>-11.39377111395036</v>
      </c>
      <c r="F37" s="580" t="n">
        <v>11.39377111395036</v>
      </c>
      <c r="G37" s="14" t="n">
        <v>0</v>
      </c>
      <c r="H37" s="596" t="n"/>
      <c r="I37" s="596" t="n"/>
      <c r="J37" s="27" t="n"/>
    </row>
    <row r="38">
      <c r="A38" s="594" t="inlineStr">
        <is>
          <t>Capacitancia shunt total</t>
        </is>
      </c>
      <c r="D38" s="15" t="n">
        <v>0</v>
      </c>
      <c r="E38" s="15" t="n">
        <v>-16.90751884042061</v>
      </c>
      <c r="F38" s="15" t="n">
        <v>16.90751884042061</v>
      </c>
      <c r="G38" s="16" t="n">
        <v>0</v>
      </c>
      <c r="H38" s="596" t="n"/>
      <c r="I38" s="596" t="n"/>
      <c r="J38" s="27" t="n"/>
    </row>
    <row r="39">
      <c r="A39" s="595" t="n"/>
      <c r="D39" s="595" t="n"/>
      <c r="E39" s="595" t="n"/>
      <c r="F39" s="595" t="n"/>
      <c r="G39" s="575" t="n"/>
      <c r="H39" s="596" t="n"/>
      <c r="I39" s="596" t="n"/>
      <c r="J39" s="27" t="n"/>
    </row>
    <row r="40">
      <c r="A40" s="579" t="inlineStr">
        <is>
          <t>Pérdidas en las líneas</t>
        </is>
      </c>
      <c r="D40" s="580" t="n">
        <v>60.00573762581394</v>
      </c>
      <c r="E40" s="580" t="n">
        <v>99.85232417549287</v>
      </c>
      <c r="F40" s="580" t="n">
        <v>116.4953869956478</v>
      </c>
      <c r="G40" s="14" t="n">
        <v>51.50911050929058</v>
      </c>
      <c r="H40" s="596" t="n"/>
      <c r="I40" s="596" t="n"/>
      <c r="J40" s="27" t="n"/>
    </row>
    <row r="41">
      <c r="A41" s="579" t="inlineStr">
        <is>
          <t>Pérdidas en los cables</t>
        </is>
      </c>
      <c r="D41" s="580" t="n">
        <v>3.498194008018318</v>
      </c>
      <c r="E41" s="580" t="n">
        <v>2.430223903663736</v>
      </c>
      <c r="F41" s="580" t="n">
        <v>4.259501090465158</v>
      </c>
      <c r="G41" s="14" t="n">
        <v>82.12684851399577</v>
      </c>
      <c r="H41" s="596" t="n"/>
      <c r="I41" s="596" t="n"/>
      <c r="J41" s="27" t="n"/>
    </row>
    <row r="42">
      <c r="A42" s="579" t="inlineStr">
        <is>
          <t>Pérdidas de carga del transformador</t>
        </is>
      </c>
      <c r="D42" s="580" t="n">
        <v>0</v>
      </c>
      <c r="E42" s="580" t="n">
        <v>0</v>
      </c>
      <c r="F42" s="580" t="n">
        <v>0</v>
      </c>
      <c r="G42" s="14" t="n">
        <v>0</v>
      </c>
      <c r="H42" s="596" t="n"/>
      <c r="I42" s="596" t="n"/>
      <c r="J42" s="27" t="n"/>
    </row>
    <row r="43">
      <c r="A43" s="579" t="inlineStr">
        <is>
          <t>Pérdidas en vacío del transformador</t>
        </is>
      </c>
      <c r="D43" s="580" t="n">
        <v>0</v>
      </c>
      <c r="E43" s="580" t="n">
        <v>0</v>
      </c>
      <c r="F43" s="580" t="n">
        <v>0</v>
      </c>
      <c r="G43" s="14" t="n">
        <v>0</v>
      </c>
      <c r="H43" s="596" t="n"/>
      <c r="I43" s="596" t="n"/>
      <c r="J43" s="27" t="n"/>
    </row>
    <row r="44">
      <c r="A44" s="594" t="inlineStr">
        <is>
          <t>Pérdidas totales</t>
        </is>
      </c>
      <c r="D44" s="15" t="n">
        <v>63.50393163383227</v>
      </c>
      <c r="E44" s="15" t="n">
        <v>102.2825480791566</v>
      </c>
      <c r="F44" s="15" t="n">
        <v>120.3929772641221</v>
      </c>
      <c r="G44" s="16" t="n">
        <v>52.7472059225807</v>
      </c>
      <c r="H44" s="596" t="n"/>
      <c r="I44" s="596" t="n"/>
      <c r="J44" s="27" t="n"/>
    </row>
    <row r="45">
      <c r="A45" s="576" t="n"/>
      <c r="B45" s="650" t="n"/>
      <c r="C45" s="650" t="n"/>
      <c r="D45" s="576" t="n"/>
      <c r="E45" s="576" t="n"/>
      <c r="F45" s="576" t="n"/>
      <c r="G45" s="578" t="n"/>
      <c r="H45" s="596" t="n"/>
      <c r="I45" s="596" t="n"/>
      <c r="J45" s="27" t="n"/>
    </row>
    <row r="46">
      <c r="A46" s="596" t="n"/>
      <c r="B46" s="596" t="n"/>
      <c r="C46" s="596" t="n"/>
      <c r="D46" s="596" t="n"/>
      <c r="E46" s="596" t="n"/>
      <c r="F46" s="596" t="n"/>
      <c r="G46" s="596" t="n"/>
      <c r="H46" s="596" t="n"/>
      <c r="I46" s="596" t="n"/>
      <c r="J46" s="27" t="n"/>
    </row>
    <row r="47">
      <c r="A47" s="596" t="n"/>
      <c r="B47" s="596" t="n"/>
      <c r="C47" s="596" t="n"/>
      <c r="D47" s="596" t="n"/>
      <c r="E47" s="596" t="n"/>
      <c r="F47" s="596" t="n"/>
      <c r="G47" s="596" t="n"/>
      <c r="H47" s="596" t="n"/>
      <c r="I47" s="596" t="n"/>
      <c r="J47" s="27" t="n"/>
    </row>
    <row r="48">
      <c r="A48" s="589" t="n"/>
      <c r="B48" s="647" t="n"/>
      <c r="C48" s="647" t="n"/>
      <c r="D48" s="589" t="n"/>
      <c r="E48" s="589" t="n"/>
      <c r="F48" s="589" t="n"/>
      <c r="G48" s="647" t="n"/>
      <c r="H48" s="647" t="n"/>
      <c r="I48" s="601" t="n"/>
      <c r="J48" s="27" t="n"/>
    </row>
    <row customHeight="1" ht="15.75" r="49">
      <c r="A49" s="581" t="inlineStr">
        <is>
          <t>Condiciones anormales</t>
        </is>
      </c>
      <c r="D49" s="583" t="inlineStr">
        <is>
          <t>Fase</t>
        </is>
      </c>
      <c r="E49" s="583" t="inlineStr">
        <is>
          <t>Conteo</t>
        </is>
      </c>
      <c r="F49" s="583" t="inlineStr">
        <is>
          <t>Peor caso</t>
        </is>
      </c>
      <c r="I49" s="12" t="inlineStr">
        <is>
          <t>Valor</t>
        </is>
      </c>
      <c r="J49" s="27" t="n"/>
    </row>
    <row r="50">
      <c r="A50" s="590" t="inlineStr"/>
      <c r="B50" s="647" t="n"/>
      <c r="C50" s="647" t="n"/>
      <c r="D50" s="17" t="inlineStr">
        <is>
          <t>A</t>
        </is>
      </c>
      <c r="E50" s="18" t="n">
        <v>10</v>
      </c>
      <c r="F50" s="590" t="inlineStr">
        <is>
          <t>SEC_1080_848857_848857</t>
        </is>
      </c>
      <c r="G50" s="647" t="n"/>
      <c r="H50" s="647" t="n"/>
      <c r="I50" s="19" t="inlineStr">
        <is>
          <t>111.83 %</t>
        </is>
      </c>
      <c r="J50" s="27" t="n"/>
    </row>
    <row r="51">
      <c r="A51" s="573" t="inlineStr">
        <is>
          <t>Sobrecarga</t>
        </is>
      </c>
      <c r="D51" s="20" t="inlineStr">
        <is>
          <t>B</t>
        </is>
      </c>
      <c r="E51" s="21" t="n">
        <v>10</v>
      </c>
      <c r="F51" s="573" t="inlineStr">
        <is>
          <t>SEC_1080_848857_848857</t>
        </is>
      </c>
      <c r="I51" s="22" t="inlineStr">
        <is>
          <t>111.83 %</t>
        </is>
      </c>
      <c r="J51" s="27" t="n"/>
    </row>
    <row r="52">
      <c r="A52" s="573" t="inlineStr"/>
      <c r="D52" s="20" t="inlineStr">
        <is>
          <t>C</t>
        </is>
      </c>
      <c r="E52" s="21" t="n">
        <v>10</v>
      </c>
      <c r="F52" s="573" t="inlineStr">
        <is>
          <t>SEC_1080_848857_848857</t>
        </is>
      </c>
      <c r="I52" s="22" t="inlineStr">
        <is>
          <t>111.83 %</t>
        </is>
      </c>
      <c r="J52" s="27" t="n"/>
    </row>
    <row r="53">
      <c r="A53" s="590" t="inlineStr"/>
      <c r="B53" s="647" t="n"/>
      <c r="C53" s="647" t="n"/>
      <c r="D53" s="17" t="inlineStr">
        <is>
          <t>A</t>
        </is>
      </c>
      <c r="E53" s="18" t="n">
        <v>0</v>
      </c>
      <c r="F53" s="590" t="inlineStr">
        <is>
          <t>NODE_2010_326877_SE30738_VIRTUAL</t>
        </is>
      </c>
      <c r="G53" s="647" t="n"/>
      <c r="H53" s="647" t="n"/>
      <c r="I53" s="19" t="inlineStr">
        <is>
          <t>100.36 %</t>
        </is>
      </c>
      <c r="J53" s="27" t="n"/>
    </row>
    <row r="54">
      <c r="A54" s="573" t="inlineStr">
        <is>
          <t>Subtensión</t>
        </is>
      </c>
      <c r="D54" s="20" t="inlineStr">
        <is>
          <t>B</t>
        </is>
      </c>
      <c r="E54" s="21" t="n">
        <v>0</v>
      </c>
      <c r="F54" s="573" t="inlineStr">
        <is>
          <t>NODE_2010_326877_SE30738_VIRTUAL</t>
        </is>
      </c>
      <c r="I54" s="22" t="inlineStr">
        <is>
          <t>100.36 %</t>
        </is>
      </c>
      <c r="J54" s="27" t="n"/>
    </row>
    <row r="55">
      <c r="A55" s="573" t="inlineStr"/>
      <c r="D55" s="20" t="inlineStr">
        <is>
          <t>C</t>
        </is>
      </c>
      <c r="E55" s="21" t="n">
        <v>0</v>
      </c>
      <c r="F55" s="573" t="inlineStr">
        <is>
          <t>NODE_2010_326877_SE30738_VIRTUAL</t>
        </is>
      </c>
      <c r="I55" s="22" t="inlineStr">
        <is>
          <t>100.36 %</t>
        </is>
      </c>
      <c r="J55" s="27" t="n"/>
    </row>
    <row r="56">
      <c r="A56" s="590" t="inlineStr"/>
      <c r="B56" s="647" t="n"/>
      <c r="C56" s="647" t="n"/>
      <c r="D56" s="17" t="inlineStr">
        <is>
          <t>A</t>
        </is>
      </c>
      <c r="E56" s="18" t="n">
        <v>0</v>
      </c>
      <c r="F56" s="590" t="inlineStr">
        <is>
          <t>NET_2030_154_PA108</t>
        </is>
      </c>
      <c r="G56" s="647" t="n"/>
      <c r="H56" s="647" t="n"/>
      <c r="I56" s="19" t="inlineStr">
        <is>
          <t>102.00 %</t>
        </is>
      </c>
      <c r="J56" s="27" t="n"/>
    </row>
    <row r="57">
      <c r="A57" s="573" t="inlineStr">
        <is>
          <t>Sobretensión</t>
        </is>
      </c>
      <c r="D57" s="20" t="inlineStr">
        <is>
          <t>B</t>
        </is>
      </c>
      <c r="E57" s="21" t="n">
        <v>0</v>
      </c>
      <c r="F57" s="573" t="inlineStr">
        <is>
          <t>NET_2030_154_PA108</t>
        </is>
      </c>
      <c r="I57" s="22" t="inlineStr">
        <is>
          <t>102.00 %</t>
        </is>
      </c>
      <c r="J57" s="27" t="n"/>
    </row>
    <row r="58">
      <c r="A58" s="588" t="inlineStr"/>
      <c r="B58" s="650" t="n"/>
      <c r="C58" s="650" t="n"/>
      <c r="D58" s="23" t="inlineStr">
        <is>
          <t>C</t>
        </is>
      </c>
      <c r="E58" s="24" t="n">
        <v>0</v>
      </c>
      <c r="F58" s="588" t="inlineStr">
        <is>
          <t>NET_2030_154_PA108</t>
        </is>
      </c>
      <c r="G58" s="650" t="n"/>
      <c r="H58" s="650" t="n"/>
      <c r="I58" s="25" t="inlineStr">
        <is>
          <t>102.00 %</t>
        </is>
      </c>
      <c r="J58" s="27" t="n"/>
    </row>
    <row r="59">
      <c r="A59" s="596" t="n"/>
      <c r="B59" s="596" t="n"/>
      <c r="C59" s="596" t="n"/>
      <c r="D59" s="596" t="n"/>
      <c r="E59" s="596" t="n"/>
      <c r="F59" s="596" t="n"/>
      <c r="G59" s="596" t="n"/>
      <c r="H59" s="596" t="n"/>
      <c r="I59" s="596" t="n"/>
      <c r="J59" s="27" t="n"/>
    </row>
    <row r="60">
      <c r="A60" s="596" t="n"/>
      <c r="B60" s="596" t="n"/>
      <c r="C60" s="596" t="n"/>
      <c r="D60" s="596" t="n"/>
      <c r="E60" s="596" t="n"/>
      <c r="F60" s="596" t="n"/>
      <c r="G60" s="596" t="n"/>
      <c r="H60" s="596" t="n"/>
      <c r="I60" s="596" t="n"/>
      <c r="J60" s="27" t="n"/>
    </row>
    <row r="61">
      <c r="A61" s="589" t="n"/>
      <c r="B61" s="647" t="n"/>
      <c r="C61" s="647" t="n"/>
      <c r="D61" s="589" t="n"/>
      <c r="E61" s="589" t="n"/>
      <c r="F61" s="601" t="n"/>
      <c r="G61" s="648" t="n"/>
      <c r="H61" s="596" t="n"/>
      <c r="I61" s="596" t="n"/>
      <c r="J61" s="27" t="n"/>
    </row>
    <row customHeight="1" ht="15.75" r="62">
      <c r="A62" s="581" t="inlineStr">
        <is>
          <t>Costo anual de las pérdidas del sistema</t>
        </is>
      </c>
      <c r="D62" s="583" t="inlineStr">
        <is>
          <t>kW</t>
        </is>
      </c>
      <c r="E62" s="583" t="inlineStr">
        <is>
          <t>MW-h/año</t>
        </is>
      </c>
      <c r="F62" s="12" t="inlineStr">
        <is>
          <t>k$/año</t>
        </is>
      </c>
      <c r="G62" s="649" t="n"/>
      <c r="H62" s="596" t="n"/>
      <c r="I62" s="596" t="n"/>
      <c r="J62" s="27" t="n"/>
    </row>
    <row r="63">
      <c r="A63" s="585" t="n"/>
      <c r="B63" s="647" t="n"/>
      <c r="C63" s="647" t="n"/>
      <c r="D63" s="585" t="n"/>
      <c r="E63" s="585" t="n"/>
      <c r="F63" s="587" t="n"/>
      <c r="G63" s="648" t="n"/>
      <c r="H63" s="596" t="n"/>
      <c r="I63" s="596" t="n"/>
      <c r="J63" s="27" t="n"/>
    </row>
    <row r="64">
      <c r="A64" s="579" t="inlineStr">
        <is>
          <t>Pérdidas en las líneas</t>
        </is>
      </c>
      <c r="D64" s="580" t="n">
        <v>60.00573762581394</v>
      </c>
      <c r="E64" s="580" t="n">
        <v>525.6502616021305</v>
      </c>
      <c r="F64" s="14" t="n">
        <v>52.56502616021305</v>
      </c>
      <c r="G64" s="649" t="n"/>
      <c r="H64" s="596" t="n"/>
      <c r="I64" s="596" t="n"/>
      <c r="J64" s="27" t="n"/>
    </row>
    <row r="65">
      <c r="A65" s="579" t="inlineStr">
        <is>
          <t>Pérdidas en los cables</t>
        </is>
      </c>
      <c r="D65" s="580" t="n">
        <v>3.498194008018318</v>
      </c>
      <c r="E65" s="580" t="n">
        <v>30.64417951024047</v>
      </c>
      <c r="F65" s="14" t="n">
        <v>3.064417951024047</v>
      </c>
      <c r="G65" s="649" t="n"/>
      <c r="H65" s="596" t="n"/>
      <c r="I65" s="596" t="n"/>
      <c r="J65" s="27" t="n"/>
    </row>
    <row r="66">
      <c r="A66" s="579" t="inlineStr">
        <is>
          <t>Pérdidas de carga del transformador</t>
        </is>
      </c>
      <c r="D66" s="580" t="n">
        <v>0</v>
      </c>
      <c r="E66" s="580" t="n">
        <v>0</v>
      </c>
      <c r="F66" s="14" t="n">
        <v>0</v>
      </c>
      <c r="G66" s="649" t="n"/>
      <c r="H66" s="596" t="n"/>
      <c r="I66" s="596" t="n"/>
      <c r="J66" s="27" t="n"/>
    </row>
    <row r="67">
      <c r="A67" s="579" t="inlineStr">
        <is>
          <t>Pérdidas en vacío del transformador</t>
        </is>
      </c>
      <c r="D67" s="580" t="n">
        <v>0</v>
      </c>
      <c r="E67" s="580" t="n">
        <v>0</v>
      </c>
      <c r="F67" s="14" t="n">
        <v>0</v>
      </c>
      <c r="G67" s="649" t="n"/>
      <c r="H67" s="596" t="n"/>
      <c r="I67" s="596" t="n"/>
      <c r="J67" s="27" t="n"/>
    </row>
    <row r="68">
      <c r="A68" s="571" t="inlineStr">
        <is>
          <t>Pérdidas totales</t>
        </is>
      </c>
      <c r="D68" s="574" t="n">
        <v>63.50393163383227</v>
      </c>
      <c r="E68" s="574" t="n">
        <v>556.2944411123708</v>
      </c>
      <c r="F68" s="652" t="n">
        <v>55.62944411123708</v>
      </c>
      <c r="G68" s="649" t="n"/>
      <c r="H68" s="596" t="n"/>
      <c r="I68" s="596" t="n"/>
      <c r="J68" s="27" t="n"/>
    </row>
    <row r="69">
      <c r="A69" s="576" t="n"/>
      <c r="B69" s="650" t="n"/>
      <c r="C69" s="650" t="n"/>
      <c r="D69" s="576" t="n"/>
      <c r="E69" s="576" t="n"/>
      <c r="F69" s="578" t="n"/>
      <c r="G69" s="651" t="n"/>
      <c r="H69" s="596" t="n"/>
      <c r="I69" s="596" t="n"/>
      <c r="J69" s="27" t="n"/>
    </row>
    <row r="70">
      <c r="A70" s="596" t="n"/>
      <c r="B70" s="596" t="n"/>
      <c r="C70" s="596" t="n"/>
      <c r="D70" s="596" t="n"/>
      <c r="E70" s="596" t="n"/>
      <c r="F70" s="596" t="n"/>
      <c r="G70" s="596" t="n"/>
      <c r="H70" s="596" t="n"/>
      <c r="I70" s="596" t="n"/>
      <c r="J70" s="27" t="n"/>
    </row>
  </sheetData>
  <mergeCells count="95">
    <mergeCell ref="A7:C7"/>
    <mergeCell ref="D7:G7"/>
    <mergeCell ref="A2:I2"/>
    <mergeCell ref="A4:G4"/>
    <mergeCell ref="A5:G5"/>
    <mergeCell ref="A6:C6"/>
    <mergeCell ref="D6:G6"/>
    <mergeCell ref="A8:C8"/>
    <mergeCell ref="D8:G8"/>
    <mergeCell ref="A9:C9"/>
    <mergeCell ref="D9:G9"/>
    <mergeCell ref="A10:C10"/>
    <mergeCell ref="D10:G10"/>
    <mergeCell ref="A11:C11"/>
    <mergeCell ref="D11:G11"/>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 ref="A19:C19"/>
    <mergeCell ref="D19:G19"/>
    <mergeCell ref="A33:C33"/>
    <mergeCell ref="A22:C22"/>
    <mergeCell ref="A23:C23"/>
    <mergeCell ref="A24:C24"/>
    <mergeCell ref="A25:C25"/>
    <mergeCell ref="A26:C26"/>
    <mergeCell ref="A27:C27"/>
    <mergeCell ref="A28:C28"/>
    <mergeCell ref="A29:C29"/>
    <mergeCell ref="A30:C30"/>
    <mergeCell ref="A31:C31"/>
    <mergeCell ref="A32:C32"/>
    <mergeCell ref="A45:C45"/>
    <mergeCell ref="A34:C34"/>
    <mergeCell ref="A35:C35"/>
    <mergeCell ref="A36:C36"/>
    <mergeCell ref="A37:C37"/>
    <mergeCell ref="A38:C38"/>
    <mergeCell ref="A39:C39"/>
    <mergeCell ref="A40:C40"/>
    <mergeCell ref="A41:C41"/>
    <mergeCell ref="A42:C42"/>
    <mergeCell ref="A43:C43"/>
    <mergeCell ref="A44:C44"/>
    <mergeCell ref="A48:C48"/>
    <mergeCell ref="F48:H48"/>
    <mergeCell ref="A49:C49"/>
    <mergeCell ref="F49:H49"/>
    <mergeCell ref="A50:C50"/>
    <mergeCell ref="F50:H50"/>
    <mergeCell ref="A51:C51"/>
    <mergeCell ref="F51:H51"/>
    <mergeCell ref="A52:C52"/>
    <mergeCell ref="F52:H52"/>
    <mergeCell ref="A53:C53"/>
    <mergeCell ref="F53:H53"/>
    <mergeCell ref="A54:C54"/>
    <mergeCell ref="F54:H54"/>
    <mergeCell ref="A55:C55"/>
    <mergeCell ref="F55:H55"/>
    <mergeCell ref="A56:C56"/>
    <mergeCell ref="F56:H56"/>
    <mergeCell ref="A57:C57"/>
    <mergeCell ref="F57:H57"/>
    <mergeCell ref="A58:C58"/>
    <mergeCell ref="F58:H58"/>
    <mergeCell ref="A61:C61"/>
    <mergeCell ref="F61:G61"/>
    <mergeCell ref="A62:C62"/>
    <mergeCell ref="F62:G62"/>
    <mergeCell ref="A63:C63"/>
    <mergeCell ref="F63:G63"/>
    <mergeCell ref="A64:C64"/>
    <mergeCell ref="F64:G64"/>
    <mergeCell ref="A68:C68"/>
    <mergeCell ref="F68:G68"/>
    <mergeCell ref="A69:C69"/>
    <mergeCell ref="F69:G69"/>
    <mergeCell ref="A65:C65"/>
    <mergeCell ref="F65:G65"/>
    <mergeCell ref="A66:C66"/>
    <mergeCell ref="F66:G66"/>
    <mergeCell ref="A67:C67"/>
    <mergeCell ref="F67:G67"/>
  </mergeCells>
  <pageMargins bottom="0.75" footer="0.3" header="0.3" left="0.7" right="0.7" top="0.75"/>
  <headerFooter>
    <oddHeader>&amp;L&amp;"Calibri"&amp;1 &amp;K000000 Información Pública#_x000d_</oddHeader>
    <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Windows XP Mode</dc:creator>
  <dcterms:created xsi:type="dcterms:W3CDTF">2015-09-04T17:54:08Z</dcterms:created>
  <dcterms:modified xsi:type="dcterms:W3CDTF">2026-08-14T16:54:22Z</dcterms:modified>
  <cp:lastModifiedBy>Mac Tapia Ccoyso</cp:lastModifiedBy>
</cp:coreProperties>
</file>