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_Proyecto" sheetId="1" state="visible" r:id="rId1"/>
    <sheet name="Clientes_Grandes" sheetId="2" state="visible" r:id="rId2"/>
    <sheet name="Distribucion_Carga" sheetId="3" state="visible" r:id="rId3"/>
    <sheet name="Reconectadores" sheetId="4" state="visible" r:id="rId4"/>
    <sheet name="Reguladores" sheetId="5" state="visible" r:id="rId5"/>
    <sheet name="Capacitores" sheetId="6" state="visible" r:id="rId6"/>
    <sheet name="Transformadores" sheetId="7" state="visible" r:id="rId7"/>
    <sheet name="Seccionadores" sheetId="8" state="visible" r:id="rId8"/>
    <sheet name="Escenarios" sheetId="9" state="visible" r:id="rId9"/>
    <sheet name="Criterios_Opt" sheetId="10" state="visible" r:id="rId10"/>
    <sheet name="Salida_Diagnostico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2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32"/>
    <col customWidth="1" max="3" min="3" style="15" width="14"/>
    <col customWidth="1" max="4" min="4" style="15" width="14"/>
    <col customWidth="1" max="5" min="5" style="15" width="70"/>
  </cols>
  <sheetData>
    <row r="1">
      <c r="A1" s="9" t="inlineStr">
        <is>
          <t>CYMDIST PA217 - Control de ejecución</t>
        </is>
      </c>
      <c r="B1" s="21" t="n"/>
      <c r="C1" s="21" t="n"/>
      <c r="D1" s="21" t="n"/>
      <c r="E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Obligatorio</t>
        </is>
      </c>
      <c r="E3" s="14" t="inlineStr">
        <is>
          <t>Descripcion</t>
        </is>
      </c>
    </row>
    <row r="4">
      <c r="A4" t="inlineStr">
        <is>
          <t>NetworkID</t>
        </is>
      </c>
      <c r="B4" t="inlineStr">
        <is>
          <t>NET_2030_179_PA217</t>
        </is>
      </c>
      <c r="D4" t="b">
        <v>1</v>
      </c>
      <c r="E4" t="inlineStr">
        <is>
          <t>Red objetivo en CYMDIST</t>
        </is>
      </c>
    </row>
    <row r="5">
      <c r="A5" t="inlineStr">
        <is>
          <t>Tension_MT_LL</t>
        </is>
      </c>
      <c r="B5" t="n">
        <v>22.9</v>
      </c>
      <c r="C5" t="inlineStr">
        <is>
          <t>kV</t>
        </is>
      </c>
      <c r="D5" t="b">
        <v>1</v>
      </c>
      <c r="E5" t="inlineStr">
        <is>
          <t>Tensión base línea-línea</t>
        </is>
      </c>
    </row>
    <row r="6">
      <c r="A6" t="inlineStr">
        <is>
          <t>Demanda_Max_Cabecera_kW</t>
        </is>
      </c>
      <c r="B6" t="n">
        <v>5000</v>
      </c>
      <c r="C6" t="inlineStr">
        <is>
          <t>kW</t>
        </is>
      </c>
      <c r="D6" t="b">
        <v>1</v>
      </c>
      <c r="E6" t="inlineStr">
        <is>
          <t>Máxima demanda medida/objetivo en cabecera</t>
        </is>
      </c>
    </row>
    <row r="7">
      <c r="A7" t="inlineStr">
        <is>
          <t>FP_Cabecera</t>
        </is>
      </c>
      <c r="B7" t="n">
        <v>0.95</v>
      </c>
      <c r="C7" t="inlineStr">
        <is>
          <t>pu</t>
        </is>
      </c>
      <c r="D7" t="b">
        <v>1</v>
      </c>
      <c r="E7" t="inlineStr">
        <is>
          <t>Factor de potencia en cabecera si no se ingresa kvar</t>
        </is>
      </c>
    </row>
    <row r="8">
      <c r="A8" t="inlineStr">
        <is>
          <t>Q_Cabecera_kvar</t>
        </is>
      </c>
      <c r="B8" t="n">
        <v>1643</v>
      </c>
      <c r="C8" t="inlineStr">
        <is>
          <t>kvar</t>
        </is>
      </c>
      <c r="D8" t="b">
        <v>0</v>
      </c>
      <c r="E8" t="inlineStr">
        <is>
          <t>Usar en lugar de FP cuando se disponga</t>
        </is>
      </c>
    </row>
    <row r="9">
      <c r="A9" t="inlineStr">
        <is>
          <t>Modo_Distribucion</t>
        </is>
      </c>
      <c r="B9" t="inlineStr">
        <is>
          <t>Conectado+Fijos</t>
        </is>
      </c>
      <c r="D9" t="b">
        <v>1</v>
      </c>
      <c r="E9" t="inlineStr">
        <is>
          <t>Grandes clientes fijos + residual distribuido</t>
        </is>
      </c>
    </row>
    <row r="10">
      <c r="A10" t="inlineStr">
        <is>
          <t>Escenario_Base</t>
        </is>
      </c>
      <c r="B10" t="inlineStr">
        <is>
          <t>ACTUAL</t>
        </is>
      </c>
      <c r="D10" t="b">
        <v>1</v>
      </c>
      <c r="E10" t="inlineStr">
        <is>
          <t>Escenario operativo base</t>
        </is>
      </c>
    </row>
    <row r="11">
      <c r="A11" t="inlineStr">
        <is>
          <t>Ejecutar_Flujo</t>
        </is>
      </c>
      <c r="B11" t="b">
        <v>1</v>
      </c>
      <c r="D11" t="b">
        <v>1</v>
      </c>
      <c r="E11" t="inlineStr">
        <is>
          <t>Ejecuta flujo luego de distribución</t>
        </is>
      </c>
    </row>
    <row r="12">
      <c r="A12" t="inlineStr">
        <is>
          <t>Ejecutar_Opt_Recloser</t>
        </is>
      </c>
      <c r="B12" t="b">
        <v>0</v>
      </c>
      <c r="D12" t="b">
        <v>0</v>
      </c>
      <c r="E12" t="inlineStr">
        <is>
          <t>Ubicación óptima de reconectadores</t>
        </is>
      </c>
    </row>
    <row r="13">
      <c r="A13" t="inlineStr">
        <is>
          <t>Ejecutar_Opt_Regulador</t>
        </is>
      </c>
      <c r="B13" t="b">
        <v>0</v>
      </c>
      <c r="D13" t="b">
        <v>0</v>
      </c>
      <c r="E13" t="inlineStr">
        <is>
          <t>Ubicación óptima de reguladores de tensión</t>
        </is>
      </c>
    </row>
    <row r="14">
      <c r="A14" t="inlineStr">
        <is>
          <t>Ejecutar_Opt_Capacitor</t>
        </is>
      </c>
      <c r="B14" t="b">
        <v>0</v>
      </c>
      <c r="D14" t="b">
        <v>0</v>
      </c>
      <c r="E14" t="inlineStr">
        <is>
          <t>Ubicación óptima de bancos de condensadores</t>
        </is>
      </c>
    </row>
    <row r="15">
      <c r="A15" t="inlineStr">
        <is>
          <t>Limite_Vmin_pu</t>
        </is>
      </c>
      <c r="B15" t="n">
        <v>0.95</v>
      </c>
      <c r="C15" t="inlineStr">
        <is>
          <t>pu</t>
        </is>
      </c>
      <c r="D15" t="b">
        <v>1</v>
      </c>
      <c r="E15" t="inlineStr">
        <is>
          <t>Criterio de diagnóstico</t>
        </is>
      </c>
    </row>
    <row r="16">
      <c r="A16" t="inlineStr">
        <is>
          <t>Limite_Vmax_pu</t>
        </is>
      </c>
      <c r="B16" t="n">
        <v>1.05</v>
      </c>
      <c r="C16" t="inlineStr">
        <is>
          <t>pu</t>
        </is>
      </c>
      <c r="D16" t="b">
        <v>1</v>
      </c>
      <c r="E16" t="inlineStr">
        <is>
          <t>Criterio de diagnóstico</t>
        </is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32"/>
    <col customWidth="1" max="3" min="3" style="15" width="30"/>
    <col customWidth="1" max="4" min="4" style="15" width="30"/>
    <col customWidth="1" max="5" min="5" style="15" width="14"/>
    <col customWidth="1" max="6" min="6" style="15" width="14"/>
    <col customWidth="1" max="7" min="7" style="15" width="10"/>
    <col customWidth="1" max="8" min="8" style="15" width="10"/>
    <col customWidth="1" max="9" min="9" style="15" width="14"/>
    <col customWidth="1" max="10" min="10" style="15" width="18"/>
    <col customWidth="1" max="11" min="11" style="15" width="45"/>
  </cols>
  <sheetData>
    <row r="1">
      <c r="A1" s="9" t="inlineStr">
        <is>
          <t>Clientes grandes - cargas fijas no redistribuibles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Activo</t>
        </is>
      </c>
      <c r="B3" s="14" t="inlineStr">
        <is>
          <t>LoadID</t>
        </is>
      </c>
      <c r="C3" s="14" t="inlineStr">
        <is>
          <t>SectionID</t>
        </is>
      </c>
      <c r="D3" s="14" t="inlineStr">
        <is>
          <t>Cliente</t>
        </is>
      </c>
      <c r="E3" s="14" t="inlineStr">
        <is>
          <t>kW_Fijo</t>
        </is>
      </c>
      <c r="F3" s="14" t="inlineStr">
        <is>
          <t>kvar_Fijo</t>
        </is>
      </c>
      <c r="G3" s="14" t="inlineStr">
        <is>
          <t>FP</t>
        </is>
      </c>
      <c r="H3" s="14" t="inlineStr">
        <is>
          <t>Fases</t>
        </is>
      </c>
      <c r="I3" s="14" t="inlineStr">
        <is>
          <t>Ano_Ingreso</t>
        </is>
      </c>
      <c r="J3" s="14" t="inlineStr">
        <is>
          <t>Escenario</t>
        </is>
      </c>
      <c r="K3" s="14" t="inlineStr">
        <is>
          <t>Observacion</t>
        </is>
      </c>
    </row>
    <row r="4">
      <c r="A4" t="b">
        <v>0</v>
      </c>
      <c r="B4" t="inlineStr">
        <is>
          <t>LOAD_GRANDE_001</t>
        </is>
      </c>
      <c r="D4" t="inlineStr">
        <is>
          <t>Cliente grande 1</t>
        </is>
      </c>
      <c r="H4" t="inlineStr">
        <is>
          <t>ABC</t>
        </is>
      </c>
      <c r="I4" t="n">
        <v>2026</v>
      </c>
      <c r="J4" t="inlineStr">
        <is>
          <t>ACTUAL</t>
        </is>
      </c>
      <c r="K4" t="inlineStr">
        <is>
          <t>Desactivado: completar LoadID real CYMDIST y kW/FP antes de WRITE</t>
        </is>
      </c>
    </row>
    <row r="5">
      <c r="A5" t="b">
        <v>0</v>
      </c>
      <c r="B5" t="inlineStr">
        <is>
          <t>LOAD_GRANDE_002</t>
        </is>
      </c>
      <c r="D5" t="inlineStr">
        <is>
          <t>Cliente grande 2</t>
        </is>
      </c>
      <c r="H5" t="inlineStr">
        <is>
          <t>ABC</t>
        </is>
      </c>
      <c r="I5" t="n">
        <v>2027</v>
      </c>
      <c r="J5" t="inlineStr">
        <is>
          <t>FUTURO</t>
        </is>
      </c>
    </row>
    <row r="6">
      <c r="A6" t="b">
        <v>0</v>
      </c>
      <c r="B6" t="inlineStr">
        <is>
          <t>LOAD_GRANDE_003</t>
        </is>
      </c>
      <c r="D6" t="inlineStr">
        <is>
          <t>Cliente grande 3</t>
        </is>
      </c>
      <c r="H6" t="inlineStr">
        <is>
          <t>ABC</t>
        </is>
      </c>
      <c r="I6" t="n">
        <v>2028</v>
      </c>
      <c r="J6" t="inlineStr">
        <is>
          <t>FUTURO</t>
        </is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customWidth="1" max="1" min="1" style="15" width="34"/>
    <col customWidth="1" max="2" min="2" style="15" width="24"/>
    <col customWidth="1" max="3" min="3" style="15" width="14"/>
    <col customWidth="1" max="4" min="4" style="15" width="70"/>
  </cols>
  <sheetData>
    <row r="1">
      <c r="A1" s="9" t="inlineStr">
        <is>
          <t>Configuración de distribución de carga</t>
        </is>
      </c>
      <c r="B1" s="21" t="n"/>
      <c r="C1" s="21" t="n"/>
      <c r="D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Descripcion</t>
        </is>
      </c>
    </row>
    <row r="4">
      <c r="A4" t="inlineStr">
        <is>
          <t>Metodo_Residual</t>
        </is>
      </c>
      <c r="B4" t="inlineStr">
        <is>
          <t>Connected_kVA</t>
        </is>
      </c>
      <c r="D4" t="inlineStr">
        <is>
          <t>Distribuye solo demanda residual a cargas normales</t>
        </is>
      </c>
    </row>
    <row r="5">
      <c r="A5" t="inlineStr">
        <is>
          <t>Excluir_Clientes_Grandes</t>
        </is>
      </c>
      <c r="B5" t="b">
        <v>1</v>
      </c>
      <c r="D5" t="inlineStr">
        <is>
          <t>Clientes_Grandes se fijan antes de distribuir residual</t>
        </is>
      </c>
    </row>
    <row r="6">
      <c r="A6" t="inlineStr">
        <is>
          <t>Demanda_Residual_kW</t>
        </is>
      </c>
      <c r="B6">
        <f>'Control_Proyecto'!B6-SUMIFS('Clientes_Grandes'!E:E,'Clientes_Grandes'!A:A,TRUE,'Clientes_Grandes'!J:J,'Control_Proyecto'!B10)</f>
        <v/>
      </c>
      <c r="C6" t="inlineStr">
        <is>
          <t>kW</t>
        </is>
      </c>
      <c r="D6" t="inlineStr">
        <is>
          <t>Calculada: cabecera - suma grandes clientes - generación neta</t>
        </is>
      </c>
    </row>
    <row r="7">
      <c r="A7" t="inlineStr">
        <is>
          <t>Q_Residual_kvar</t>
        </is>
      </c>
      <c r="C7" t="inlineStr">
        <is>
          <t>kvar</t>
        </is>
      </c>
      <c r="D7" t="inlineStr">
        <is>
          <t>Calculada según cabecera y cargas fijas</t>
        </is>
      </c>
    </row>
    <row r="8">
      <c r="A8" t="inlineStr">
        <is>
          <t>Factor_P_inicial</t>
        </is>
      </c>
      <c r="B8" t="n">
        <v>1</v>
      </c>
      <c r="C8" t="inlineStr">
        <is>
          <t>pu</t>
        </is>
      </c>
      <c r="D8" t="inlineStr">
        <is>
          <t>Escala P de cargas normales antes de distribución</t>
        </is>
      </c>
    </row>
    <row r="9">
      <c r="A9" t="inlineStr">
        <is>
          <t>Factor_Q_inicial</t>
        </is>
      </c>
      <c r="B9" t="n">
        <v>1</v>
      </c>
      <c r="C9" t="inlineStr">
        <is>
          <t>pu</t>
        </is>
      </c>
      <c r="D9" t="inlineStr">
        <is>
          <t>Escala Q de cargas normales antes de distribución</t>
        </is>
      </c>
    </row>
    <row r="10">
      <c r="A10" t="inlineStr">
        <is>
          <t>Diversificacion</t>
        </is>
      </c>
      <c r="B10" t="b">
        <v>1</v>
      </c>
      <c r="D10" t="inlineStr">
        <is>
          <t>Aplicar solo si la base CYMDIST está correctamente parametrizada</t>
        </is>
      </c>
    </row>
    <row r="11">
      <c r="A11" t="inlineStr">
        <is>
          <t>Tolerancia_pct</t>
        </is>
      </c>
      <c r="B11" t="n">
        <v>0.1</v>
      </c>
      <c r="C11" t="inlineStr">
        <is>
          <t>%</t>
        </is>
      </c>
      <c r="D11" t="inlineStr">
        <is>
          <t>Tolerancia solver</t>
        </is>
      </c>
    </row>
    <row r="12">
      <c r="A12" t="inlineStr">
        <is>
          <t>Iteraciones</t>
        </is>
      </c>
      <c r="B12" t="n">
        <v>60</v>
      </c>
      <c r="D12" t="inlineStr">
        <is>
          <t>Máximo de iteraciones</t>
        </is>
      </c>
    </row>
    <row r="13">
      <c r="A13" t="inlineStr">
        <is>
          <t>Metodo_Flujo</t>
        </is>
      </c>
      <c r="B13" t="inlineStr">
        <is>
          <t>BalancedVoltageDrop</t>
        </is>
      </c>
      <c r="D13" t="inlineStr">
        <is>
          <t>A confirmar con introspección CymPy 9.2 R1</t>
        </is>
      </c>
    </row>
    <row r="14">
      <c r="A14" t="inlineStr">
        <is>
          <t>Modelo_Carga</t>
        </is>
      </c>
      <c r="B14" t="inlineStr">
        <is>
          <t>AsDefined</t>
        </is>
      </c>
      <c r="D14" t="inlineStr">
        <is>
          <t>Modelo de sensibilidad según base</t>
        </is>
      </c>
    </row>
    <row r="15">
      <c r="A15" t="inlineStr">
        <is>
          <t>Vz_pct</t>
        </is>
      </c>
      <c r="B15" t="n">
        <v>20</v>
      </c>
      <c r="C15" t="inlineStr">
        <is>
          <t>%</t>
        </is>
      </c>
      <c r="D15" t="inlineStr">
        <is>
          <t>Umbral de diagnóstico; no alterar permanentemente sin validación</t>
        </is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38"/>
    <col customWidth="1" max="13" min="13" style="15" width="14"/>
  </cols>
  <sheetData>
    <row r="1">
      <c r="A1" s="9" t="inlineStr">
        <is>
          <t>Catálogo - Reconectadores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Vnom_kV</t>
        </is>
      </c>
      <c r="E3" s="14" t="inlineStr">
        <is>
          <t>BIL_kV</t>
        </is>
      </c>
      <c r="F3" s="14" t="inlineStr">
        <is>
          <t>Inom_A</t>
        </is>
      </c>
      <c r="G3" s="14" t="inlineStr">
        <is>
          <t>Iinterrupt_kA</t>
        </is>
      </c>
      <c r="H3" s="14" t="inlineStr">
        <is>
          <t>Fases</t>
        </is>
      </c>
      <c r="I3" s="14" t="inlineStr">
        <is>
          <t>Control</t>
        </is>
      </c>
      <c r="J3" s="14" t="inlineStr">
        <is>
          <t>Telemando</t>
        </is>
      </c>
      <c r="K3" s="14" t="inlineStr">
        <is>
          <t>Fuente</t>
        </is>
      </c>
      <c r="L3" s="14" t="inlineStr">
        <is>
          <t>Estado</t>
        </is>
      </c>
    </row>
    <row r="4">
      <c r="A4" t="inlineStr">
        <is>
          <t>REC_27KV_630A</t>
        </is>
      </c>
      <c r="D4" t="n">
        <v>27</v>
      </c>
      <c r="E4" t="n">
        <v>150</v>
      </c>
      <c r="F4" t="n">
        <v>630</v>
      </c>
      <c r="H4" t="n">
        <v>3</v>
      </c>
      <c r="I4" t="inlineStr">
        <is>
          <t>Electrónico</t>
        </is>
      </c>
      <c r="J4" t="b">
        <v>1</v>
      </c>
      <c r="L4" t="inlineStr">
        <is>
          <t>PENDIENTE</t>
        </is>
      </c>
    </row>
  </sheetData>
  <mergeCells count="1">
    <mergeCell ref="A1:L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38"/>
    <col customWidth="1" max="14" min="14" style="15" width="14"/>
  </cols>
  <sheetData>
    <row r="1">
      <c r="A1" s="9" t="inlineStr">
        <is>
          <t>Catálogo - Reguladores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Rango_pct</t>
        </is>
      </c>
      <c r="H3" s="14" t="inlineStr">
        <is>
          <t>Pasos</t>
        </is>
      </c>
      <c r="I3" s="14" t="inlineStr">
        <is>
          <t>Paso_pct</t>
        </is>
      </c>
      <c r="J3" s="14" t="inlineStr">
        <is>
          <t>Inom_A</t>
        </is>
      </c>
      <c r="K3" s="14" t="inlineStr">
        <is>
          <t>Control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REG_22_9_5MVA</t>
        </is>
      </c>
      <c r="D4" t="n">
        <v>5000</v>
      </c>
      <c r="E4" t="n">
        <v>22.9</v>
      </c>
      <c r="F4" t="n">
        <v>3</v>
      </c>
      <c r="G4" t="n">
        <v>10</v>
      </c>
      <c r="K4" t="inlineStr">
        <is>
          <t>Automático</t>
        </is>
      </c>
      <c r="M4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Capacitores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kvar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Pasos</t>
        </is>
      </c>
      <c r="H3" s="14" t="inlineStr">
        <is>
          <t>kvar_por_paso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CAP_22_9_300KVAR</t>
        </is>
      </c>
      <c r="D4" t="n">
        <v>300</v>
      </c>
      <c r="E4" t="n">
        <v>22.9</v>
      </c>
      <c r="F4" t="n">
        <v>3</v>
      </c>
      <c r="G4" t="n">
        <v>1</v>
      </c>
      <c r="H4" t="n">
        <v>300</v>
      </c>
      <c r="I4" t="inlineStr">
        <is>
          <t>Fijo/Automático</t>
        </is>
      </c>
      <c r="K4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16"/>
    <col customWidth="1" max="14" min="14" style="15" width="38"/>
    <col customWidth="1" max="15" min="15" style="15" width="14"/>
  </cols>
  <sheetData>
    <row r="1">
      <c r="A1" s="9" t="inlineStr">
        <is>
          <t>Catálogo - Transformadores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Vprim_kV</t>
        </is>
      </c>
      <c r="F3" s="14" t="inlineStr">
        <is>
          <t>Vsec_kV</t>
        </is>
      </c>
      <c r="G3" s="14" t="inlineStr">
        <is>
          <t>Conexion</t>
        </is>
      </c>
      <c r="H3" s="14" t="inlineStr">
        <is>
          <t>Z_pct</t>
        </is>
      </c>
      <c r="I3" s="14" t="inlineStr">
        <is>
          <t>X_R</t>
        </is>
      </c>
      <c r="J3" s="14" t="inlineStr">
        <is>
          <t>Tap_pct</t>
        </is>
      </c>
      <c r="K3" s="14" t="inlineStr">
        <is>
          <t>Perd_Fe_W</t>
        </is>
      </c>
      <c r="L3" s="14" t="inlineStr">
        <is>
          <t>Perd_Cu_W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TR_22_9_0_38_100</t>
        </is>
      </c>
      <c r="D4" t="n">
        <v>100</v>
      </c>
      <c r="E4" t="n">
        <v>22.9</v>
      </c>
      <c r="F4" t="n">
        <v>0.38</v>
      </c>
      <c r="G4" t="inlineStr">
        <is>
          <t>Dyn5</t>
        </is>
      </c>
      <c r="J4" t="n">
        <v>2.5</v>
      </c>
      <c r="N4" t="inlineStr">
        <is>
          <t>PENDIENTE</t>
        </is>
      </c>
    </row>
    <row r="5">
      <c r="A5" t="inlineStr">
        <is>
          <t>TR_22_9_0_38_250</t>
        </is>
      </c>
      <c r="D5" t="n">
        <v>250</v>
      </c>
      <c r="E5" t="n">
        <v>22.9</v>
      </c>
      <c r="F5" t="n">
        <v>0.38</v>
      </c>
      <c r="G5" t="inlineStr">
        <is>
          <t>Dyn5</t>
        </is>
      </c>
      <c r="J5" t="n">
        <v>2.5</v>
      </c>
      <c r="N5" t="inlineStr">
        <is>
          <t>PENDIENTE</t>
        </is>
      </c>
    </row>
    <row r="6">
      <c r="A6" t="inlineStr">
        <is>
          <t>TR_22_9_0_38_400</t>
        </is>
      </c>
      <c r="D6" t="n">
        <v>400</v>
      </c>
      <c r="E6" t="n">
        <v>22.9</v>
      </c>
      <c r="F6" t="n">
        <v>0.38</v>
      </c>
      <c r="G6" t="inlineStr">
        <is>
          <t>Dyn5</t>
        </is>
      </c>
      <c r="J6" t="n">
        <v>2.5</v>
      </c>
      <c r="N6" t="inlineStr">
        <is>
          <t>PENDIENTE</t>
        </is>
      </c>
    </row>
  </sheetData>
  <mergeCells count="1">
    <mergeCell ref="A1:N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Seccionadores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Fabricante</t>
        </is>
      </c>
      <c r="D3" s="14" t="inlineStr">
        <is>
          <t>Modelo</t>
        </is>
      </c>
      <c r="E3" s="14" t="inlineStr">
        <is>
          <t>Vnom_kV</t>
        </is>
      </c>
      <c r="F3" s="14" t="inlineStr">
        <is>
          <t>BIL_kV</t>
        </is>
      </c>
      <c r="G3" s="14" t="inlineStr">
        <is>
          <t>Inom_A</t>
        </is>
      </c>
      <c r="H3" s="14" t="inlineStr">
        <is>
          <t>Iinterrupt_A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CUTOUT_27KV_100A</t>
        </is>
      </c>
      <c r="B4" t="inlineStr">
        <is>
          <t>Cut-out</t>
        </is>
      </c>
      <c r="E4" t="n">
        <v>27</v>
      </c>
      <c r="F4" t="n">
        <v>150</v>
      </c>
      <c r="G4" t="n">
        <v>100</v>
      </c>
      <c r="H4" t="n">
        <v>10000</v>
      </c>
      <c r="I4" t="inlineStr">
        <is>
          <t>No aplica</t>
        </is>
      </c>
      <c r="K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E5" t="n">
        <v>27</v>
      </c>
      <c r="F5" t="n">
        <v>150</v>
      </c>
      <c r="G5" t="n">
        <v>400</v>
      </c>
      <c r="I5" t="inlineStr">
        <is>
          <t>Manual</t>
        </is>
      </c>
      <c r="K5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22"/>
    <col customWidth="1" max="3" min="3" style="15" width="10"/>
    <col customWidth="1" max="4" min="4" style="15" width="20"/>
    <col customWidth="1" max="5" min="5" style="15" width="10"/>
    <col customWidth="1" max="6" min="6" style="15" width="22"/>
    <col customWidth="1" max="7" min="7" style="15" width="18"/>
    <col customWidth="1" max="8" min="8" style="15" width="16"/>
    <col customWidth="1" max="9" min="9" style="15" width="14"/>
    <col customWidth="1" max="10" min="10" style="15" width="50"/>
  </cols>
  <sheetData>
    <row r="1">
      <c r="A1" s="9" t="inlineStr">
        <is>
          <t>Escenarios de simulación y optimización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Escenario</t>
        </is>
      </c>
      <c r="C3" s="14" t="inlineStr">
        <is>
          <t>Ano</t>
        </is>
      </c>
      <c r="D3" s="14" t="inlineStr">
        <is>
          <t>DemandaCabecera_kW</t>
        </is>
      </c>
      <c r="E3" s="14" t="inlineStr">
        <is>
          <t>FP</t>
        </is>
      </c>
      <c r="F3" s="14" t="inlineStr">
        <is>
          <t>Topologia</t>
        </is>
      </c>
      <c r="G3" s="14" t="inlineStr">
        <is>
          <t>IncluirGrandes</t>
        </is>
      </c>
      <c r="H3" s="14" t="inlineStr">
        <is>
          <t>EjecutarFlujo</t>
        </is>
      </c>
      <c r="I3" s="14" t="inlineStr">
        <is>
          <t>EjecutarOpt</t>
        </is>
      </c>
      <c r="J3" s="14" t="inlineStr">
        <is>
          <t>Descripcion</t>
        </is>
      </c>
    </row>
    <row r="4">
      <c r="A4" t="b">
        <v>1</v>
      </c>
      <c r="B4" t="inlineStr">
        <is>
          <t>ACTUAL</t>
        </is>
      </c>
      <c r="C4" t="n">
        <v>2026</v>
      </c>
      <c r="F4" t="inlineStr">
        <is>
          <t>Normal</t>
        </is>
      </c>
      <c r="G4" t="b">
        <v>1</v>
      </c>
      <c r="H4" t="b">
        <v>1</v>
      </c>
      <c r="I4" t="b">
        <v>0</v>
      </c>
      <c r="J4" t="inlineStr">
        <is>
          <t>Estado actual corregido</t>
        </is>
      </c>
    </row>
    <row r="5">
      <c r="A5" t="b">
        <v>0</v>
      </c>
      <c r="B5" t="inlineStr">
        <is>
          <t>ACTUAL_OPT</t>
        </is>
      </c>
      <c r="C5" t="n">
        <v>2026</v>
      </c>
      <c r="F5" t="inlineStr">
        <is>
          <t>Normal</t>
        </is>
      </c>
      <c r="G5" t="b">
        <v>1</v>
      </c>
      <c r="H5" t="b">
        <v>1</v>
      </c>
      <c r="I5" t="b">
        <v>1</v>
      </c>
      <c r="J5" t="inlineStr">
        <is>
          <t>Estado actual + optimización</t>
        </is>
      </c>
    </row>
    <row r="6">
      <c r="A6" t="b">
        <v>0</v>
      </c>
      <c r="B6" t="inlineStr">
        <is>
          <t>FUTURO_2027</t>
        </is>
      </c>
      <c r="C6" t="n">
        <v>2027</v>
      </c>
      <c r="F6" t="inlineStr">
        <is>
          <t>Normal</t>
        </is>
      </c>
      <c r="G6" t="b">
        <v>1</v>
      </c>
      <c r="H6" t="b">
        <v>1</v>
      </c>
      <c r="I6" t="b">
        <v>1</v>
      </c>
      <c r="J6" t="inlineStr">
        <is>
          <t>Escenario de expansión</t>
        </is>
      </c>
    </row>
    <row r="7">
      <c r="A7" t="b">
        <v>0</v>
      </c>
      <c r="B7" t="inlineStr">
        <is>
          <t>CONTINGENCIA</t>
        </is>
      </c>
      <c r="C7" t="n">
        <v>2026</v>
      </c>
      <c r="F7" t="inlineStr">
        <is>
          <t>Transferencia</t>
        </is>
      </c>
      <c r="G7" t="b">
        <v>1</v>
      </c>
      <c r="H7" t="b">
        <v>1</v>
      </c>
      <c r="I7" t="b">
        <v>1</v>
      </c>
      <c r="J7" t="inlineStr">
        <is>
          <t>Escenario de transferencia/cambio topológico</t>
        </is>
      </c>
    </row>
  </sheetData>
  <mergeCells count="1">
    <mergeCell ref="A1:J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34"/>
    <col customWidth="1" max="3" min="3" style="15" width="18"/>
    <col customWidth="1" max="4" min="4" style="15" width="14"/>
    <col customWidth="1" max="5" min="5" style="15" width="10"/>
    <col customWidth="1" max="6" min="6" style="15" width="10"/>
    <col customWidth="1" max="7" min="7" style="15" width="65"/>
  </cols>
  <sheetData>
    <row r="1">
      <c r="A1" s="9" t="inlineStr">
        <is>
          <t>Criterios para módulos de ubicación óptima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Modulo</t>
        </is>
      </c>
      <c r="B3" s="14" t="inlineStr">
        <is>
          <t>Parametro</t>
        </is>
      </c>
      <c r="C3" s="14" t="inlineStr">
        <is>
          <t>Valor</t>
        </is>
      </c>
      <c r="D3" s="14" t="inlineStr">
        <is>
          <t>Unidad</t>
        </is>
      </c>
      <c r="E3" s="14" t="inlineStr">
        <is>
          <t>Peso</t>
        </is>
      </c>
      <c r="F3" s="14" t="inlineStr">
        <is>
          <t>Activo</t>
        </is>
      </c>
      <c r="G3" s="14" t="inlineStr">
        <is>
          <t>Descripcion</t>
        </is>
      </c>
    </row>
    <row r="4">
      <c r="A4" t="inlineStr">
        <is>
          <t>Reconectador</t>
        </is>
      </c>
      <c r="B4" t="inlineStr">
        <is>
          <t>Objetivo</t>
        </is>
      </c>
      <c r="C4" t="inlineStr">
        <is>
          <t>Reliability</t>
        </is>
      </c>
      <c r="F4" t="b">
        <v>1</v>
      </c>
      <c r="G4" t="inlineStr">
        <is>
          <t>Ubicación óptima para confiabilidad</t>
        </is>
      </c>
    </row>
    <row r="5">
      <c r="A5" t="inlineStr">
        <is>
          <t>Reconectador</t>
        </is>
      </c>
      <c r="B5" t="inlineStr">
        <is>
          <t>MaxDispositivos</t>
        </is>
      </c>
      <c r="C5" t="n">
        <v>3</v>
      </c>
      <c r="D5" t="inlineStr">
        <is>
          <t>und</t>
        </is>
      </c>
      <c r="F5" t="b">
        <v>1</v>
      </c>
      <c r="G5" t="inlineStr">
        <is>
          <t>Límite de nuevos reconectadores</t>
        </is>
      </c>
    </row>
    <row r="6">
      <c r="A6" t="inlineStr">
        <is>
          <t>Reconectador</t>
        </is>
      </c>
      <c r="B6" t="inlineStr">
        <is>
          <t>SAIFI_Peso</t>
        </is>
      </c>
      <c r="C6" t="n">
        <v>1</v>
      </c>
      <c r="D6" t="inlineStr">
        <is>
          <t>pu</t>
        </is>
      </c>
      <c r="E6" t="n">
        <v>1</v>
      </c>
      <c r="F6" t="b">
        <v>1</v>
      </c>
      <c r="G6" t="inlineStr">
        <is>
          <t>Criterio de confiabilidad</t>
        </is>
      </c>
    </row>
    <row r="7">
      <c r="A7" t="inlineStr">
        <is>
          <t>Reconectador</t>
        </is>
      </c>
      <c r="B7" t="inlineStr">
        <is>
          <t>SAIDI_Peso</t>
        </is>
      </c>
      <c r="C7" t="n">
        <v>1</v>
      </c>
      <c r="D7" t="inlineStr">
        <is>
          <t>pu</t>
        </is>
      </c>
      <c r="E7" t="n">
        <v>1</v>
      </c>
      <c r="F7" t="b">
        <v>1</v>
      </c>
      <c r="G7" t="inlineStr">
        <is>
          <t>Criterio de confiabilidad</t>
        </is>
      </c>
    </row>
    <row r="8">
      <c r="A8" t="inlineStr">
        <is>
          <t>Regulador</t>
        </is>
      </c>
      <c r="B8" t="inlineStr">
        <is>
          <t>Vmin</t>
        </is>
      </c>
      <c r="C8" t="n">
        <v>0.95</v>
      </c>
      <c r="D8" t="inlineStr">
        <is>
          <t>pu</t>
        </is>
      </c>
      <c r="E8" t="n">
        <v>1</v>
      </c>
      <c r="F8" t="b">
        <v>1</v>
      </c>
      <c r="G8" t="inlineStr">
        <is>
          <t>Límite inferior</t>
        </is>
      </c>
    </row>
    <row r="9">
      <c r="A9" t="inlineStr">
        <is>
          <t>Regulador</t>
        </is>
      </c>
      <c r="B9" t="inlineStr">
        <is>
          <t>Vmax</t>
        </is>
      </c>
      <c r="C9" t="n">
        <v>1.05</v>
      </c>
      <c r="D9" t="inlineStr">
        <is>
          <t>pu</t>
        </is>
      </c>
      <c r="E9" t="n">
        <v>1</v>
      </c>
      <c r="F9" t="b">
        <v>1</v>
      </c>
      <c r="G9" t="inlineStr">
        <is>
          <t>Límite superior</t>
        </is>
      </c>
    </row>
    <row r="10">
      <c r="A10" t="inlineStr">
        <is>
          <t>Regulador</t>
        </is>
      </c>
      <c r="B10" t="inlineStr">
        <is>
          <t>MaxReguladores</t>
        </is>
      </c>
      <c r="C10" t="n">
        <v>2</v>
      </c>
      <c r="D10" t="inlineStr">
        <is>
          <t>und</t>
        </is>
      </c>
      <c r="F10" t="b">
        <v>1</v>
      </c>
      <c r="G10" t="inlineStr">
        <is>
          <t>Máximo a instalar</t>
        </is>
      </c>
    </row>
    <row r="11">
      <c r="A11" t="inlineStr">
        <is>
          <t>Regulador</t>
        </is>
      </c>
      <c r="B11" t="inlineStr">
        <is>
          <t>Perdidas_Peso</t>
        </is>
      </c>
      <c r="C11" t="n">
        <v>1</v>
      </c>
      <c r="D11" t="inlineStr">
        <is>
          <t>pu</t>
        </is>
      </c>
      <c r="E11" t="n">
        <v>0.5</v>
      </c>
      <c r="F11" t="b">
        <v>1</v>
      </c>
      <c r="G11" t="inlineStr">
        <is>
          <t>Penaliza pérdidas</t>
        </is>
      </c>
    </row>
    <row r="12">
      <c r="A12" t="inlineStr">
        <is>
          <t>Capacitor</t>
        </is>
      </c>
      <c r="B12" t="inlineStr">
        <is>
          <t>FPmin</t>
        </is>
      </c>
      <c r="C12" t="n">
        <v>0.95</v>
      </c>
      <c r="D12" t="inlineStr">
        <is>
          <t>pu</t>
        </is>
      </c>
      <c r="E12" t="n">
        <v>1</v>
      </c>
      <c r="F12" t="b">
        <v>1</v>
      </c>
      <c r="G12" t="inlineStr">
        <is>
          <t>FP mínimo objetivo</t>
        </is>
      </c>
    </row>
    <row r="13">
      <c r="A13" t="inlineStr">
        <is>
          <t>Capacitor</t>
        </is>
      </c>
      <c r="B13" t="inlineStr">
        <is>
          <t>Vmax</t>
        </is>
      </c>
      <c r="C13" t="n">
        <v>1.05</v>
      </c>
      <c r="D13" t="inlineStr">
        <is>
          <t>pu</t>
        </is>
      </c>
      <c r="E13" t="n">
        <v>1</v>
      </c>
      <c r="F13" t="b">
        <v>1</v>
      </c>
      <c r="G13" t="inlineStr">
        <is>
          <t>Evitar sobretensión</t>
        </is>
      </c>
    </row>
    <row r="14">
      <c r="A14" t="inlineStr">
        <is>
          <t>Capacitor</t>
        </is>
      </c>
      <c r="B14" t="inlineStr">
        <is>
          <t>MaxBancos</t>
        </is>
      </c>
      <c r="C14" t="n">
        <v>4</v>
      </c>
      <c r="D14" t="inlineStr">
        <is>
          <t>und</t>
        </is>
      </c>
      <c r="F14" t="b">
        <v>1</v>
      </c>
      <c r="G14" t="inlineStr">
        <is>
          <t>Máximo bancos</t>
        </is>
      </c>
    </row>
    <row r="15">
      <c r="A15" t="inlineStr">
        <is>
          <t>Capacitor</t>
        </is>
      </c>
      <c r="B15" t="inlineStr">
        <is>
          <t>Perdidas_Peso</t>
        </is>
      </c>
      <c r="C15" t="n">
        <v>1</v>
      </c>
      <c r="D15" t="inlineStr">
        <is>
          <t>pu</t>
        </is>
      </c>
      <c r="E15" t="n">
        <v>1</v>
      </c>
      <c r="F15" t="b">
        <v>1</v>
      </c>
      <c r="G15" t="inlineStr">
        <is>
          <t>Minimización de pérdidas</t>
        </is>
      </c>
    </row>
    <row r="16">
      <c r="A16" t="inlineStr">
        <is>
          <t>Capacitor</t>
        </is>
      </c>
      <c r="B16" t="inlineStr">
        <is>
          <t>kvarMaxTotal</t>
        </is>
      </c>
      <c r="C16" t="n">
        <v>1800</v>
      </c>
      <c r="D16" t="inlineStr">
        <is>
          <t>kvar</t>
        </is>
      </c>
      <c r="F16" t="b">
        <v>1</v>
      </c>
      <c r="G16" t="inlineStr">
        <is>
          <t>Límite de compensación</t>
        </is>
      </c>
    </row>
    <row r="17">
      <c r="A17" t="inlineStr">
        <is>
          <t>Todos</t>
        </is>
      </c>
      <c r="B17" t="inlineStr">
        <is>
          <t>CAPEX_Peso</t>
        </is>
      </c>
      <c r="C17" t="n">
        <v>1</v>
      </c>
      <c r="D17" t="inlineStr">
        <is>
          <t>pu</t>
        </is>
      </c>
      <c r="E17" t="n">
        <v>0.25</v>
      </c>
      <c r="F17" t="b">
        <v>1</v>
      </c>
      <c r="G17" t="inlineStr">
        <is>
          <t>Capa económica opcional</t>
        </is>
      </c>
    </row>
    <row r="18">
      <c r="A18" t="inlineStr">
        <is>
          <t>Todos</t>
        </is>
      </c>
      <c r="B18" t="inlineStr">
        <is>
          <t>RestriccionRadial</t>
        </is>
      </c>
      <c r="C18" t="b">
        <v>1</v>
      </c>
      <c r="F18" t="b">
        <v>1</v>
      </c>
      <c r="G18" t="inlineStr">
        <is>
          <t>Mantener topología radial cuando aplique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2"/>
    <col customWidth="1" max="3" min="3" style="15" width="18"/>
    <col customWidth="1" max="4" min="4" style="15" width="18"/>
    <col customWidth="1" max="5" min="5" style="15" width="18"/>
    <col customWidth="1" max="6" min="6" style="15" width="12"/>
    <col customWidth="1" max="7" min="7" style="15" width="28"/>
    <col customWidth="1" max="8" min="8" style="15" width="12"/>
    <col customWidth="1" max="9" min="9" style="15" width="16"/>
    <col customWidth="1" max="10" min="10" style="15" width="16"/>
    <col customWidth="1" max="11" min="11" style="15" width="14"/>
    <col customWidth="1" max="12" min="12" style="15" width="28"/>
    <col customWidth="1" max="13" min="13" style="15" width="16"/>
    <col customWidth="1" max="14" min="14" style="15" width="16"/>
    <col customWidth="1" max="15" min="15" style="15" width="18"/>
  </cols>
  <sheetData>
    <row r="1">
      <c r="A1" s="9" t="inlineStr">
        <is>
          <t>Esquema de resultados esperados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Escenario</t>
        </is>
      </c>
      <c r="B3" s="14" t="inlineStr">
        <is>
          <t>Converge</t>
        </is>
      </c>
      <c r="C3" s="14" t="inlineStr">
        <is>
          <t>P_Cabecera_kW</t>
        </is>
      </c>
      <c r="D3" s="14" t="inlineStr">
        <is>
          <t>Q_Cabecera_kvar</t>
        </is>
      </c>
      <c r="E3" s="14" t="inlineStr">
        <is>
          <t>S_Cabecera_kVA</t>
        </is>
      </c>
      <c r="F3" s="14" t="inlineStr">
        <is>
          <t>Vmin_pu</t>
        </is>
      </c>
      <c r="G3" s="14" t="inlineStr">
        <is>
          <t>Nodo_Vmin</t>
        </is>
      </c>
      <c r="H3" s="14" t="inlineStr">
        <is>
          <t>Vmax_pu</t>
        </is>
      </c>
      <c r="I3" s="14" t="inlineStr">
        <is>
          <t>Perdidas_kW</t>
        </is>
      </c>
      <c r="J3" s="14" t="inlineStr">
        <is>
          <t>Perdidas_pct</t>
        </is>
      </c>
      <c r="K3" s="14" t="inlineStr">
        <is>
          <t>Imax_A</t>
        </is>
      </c>
      <c r="L3" s="14" t="inlineStr">
        <is>
          <t>Seccion_Imax</t>
        </is>
      </c>
      <c r="M3" s="14" t="inlineStr">
        <is>
          <t>Sobrecargas</t>
        </is>
      </c>
      <c r="N3" s="14" t="inlineStr">
        <is>
          <t>Violaciones_V</t>
        </is>
      </c>
      <c r="O3" s="14" t="inlineStr">
        <is>
          <t>Estado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2026-09-20T21:12:11Z</dcterms:created>
  <dcterms:modified xsi:type="dcterms:W3CDTF">2026-09-20T21:12:11Z</dcterms:modified>
</cp:coreProperties>
</file>